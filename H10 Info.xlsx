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eathkit H10 Paper Tape Punch-Reader\H10-Paper-Tape-Reader-Punch\"/>
    </mc:Choice>
  </mc:AlternateContent>
  <xr:revisionPtr revIDLastSave="0" documentId="13_ncr:1_{78F34F1A-77A3-4F2F-A259-D187A0F12D28}" xr6:coauthVersionLast="47" xr6:coauthVersionMax="47" xr10:uidLastSave="{00000000-0000-0000-0000-000000000000}"/>
  <bookViews>
    <workbookView xWindow="4608" yWindow="2760" windowWidth="22164" windowHeight="12660" tabRatio="599" activeTab="9" xr2:uid="{00000000-000D-0000-FFFF-FFFF00000000}"/>
  </bookViews>
  <sheets>
    <sheet name="Interface Specs" sheetId="1" r:id="rId1"/>
    <sheet name="Commands" sheetId="8" r:id="rId2"/>
    <sheet name="CD vs. SN" sheetId="4" r:id="rId3"/>
    <sheet name="ICs" sheetId="5" r:id="rId4"/>
    <sheet name="TIming" sheetId="6" r:id="rId5"/>
    <sheet name="DB9" sheetId="2" r:id="rId6"/>
    <sheet name="Transition Cable" sheetId="3" r:id="rId7"/>
    <sheet name="Shield Wiring" sheetId="7" r:id="rId8"/>
    <sheet name="Sheet2" sheetId="9" r:id="rId9"/>
    <sheet name="Sheet3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1" i="10" l="1"/>
  <c r="B131" i="10"/>
  <c r="Y131" i="10" s="1"/>
  <c r="I130" i="10"/>
  <c r="B130" i="10"/>
  <c r="Y130" i="10" s="1"/>
  <c r="I129" i="10"/>
  <c r="B129" i="10"/>
  <c r="Y129" i="10" s="1"/>
  <c r="I128" i="10"/>
  <c r="B128" i="10"/>
  <c r="Y128" i="10" s="1"/>
  <c r="I127" i="10"/>
  <c r="B127" i="10"/>
  <c r="Y127" i="10" s="1"/>
  <c r="I126" i="10"/>
  <c r="B126" i="10"/>
  <c r="Y126" i="10" s="1"/>
  <c r="Y125" i="10"/>
  <c r="I125" i="10"/>
  <c r="B125" i="10"/>
  <c r="I124" i="10"/>
  <c r="B124" i="10"/>
  <c r="Y124" i="10" s="1"/>
  <c r="Y123" i="10"/>
  <c r="I123" i="10"/>
  <c r="B123" i="10"/>
  <c r="I122" i="10"/>
  <c r="B122" i="10"/>
  <c r="Y122" i="10" s="1"/>
  <c r="I121" i="10"/>
  <c r="B121" i="10"/>
  <c r="Y121" i="10" s="1"/>
  <c r="I120" i="10"/>
  <c r="B120" i="10"/>
  <c r="Y120" i="10" s="1"/>
  <c r="I119" i="10"/>
  <c r="B119" i="10"/>
  <c r="Y119" i="10" s="1"/>
  <c r="Y118" i="10"/>
  <c r="I118" i="10"/>
  <c r="B118" i="10"/>
  <c r="Y117" i="10"/>
  <c r="I117" i="10"/>
  <c r="B117" i="10"/>
  <c r="I116" i="10"/>
  <c r="B116" i="10"/>
  <c r="Y116" i="10" s="1"/>
  <c r="Y115" i="10"/>
  <c r="I115" i="10"/>
  <c r="B115" i="10"/>
  <c r="I114" i="10"/>
  <c r="B114" i="10"/>
  <c r="Y114" i="10" s="1"/>
  <c r="I113" i="10"/>
  <c r="B113" i="10"/>
  <c r="Y113" i="10" s="1"/>
  <c r="I112" i="10"/>
  <c r="B112" i="10"/>
  <c r="Y112" i="10" s="1"/>
  <c r="I111" i="10"/>
  <c r="B111" i="10"/>
  <c r="Y111" i="10" s="1"/>
  <c r="Y110" i="10"/>
  <c r="I110" i="10"/>
  <c r="B110" i="10"/>
  <c r="Y109" i="10"/>
  <c r="I109" i="10"/>
  <c r="B109" i="10"/>
  <c r="I108" i="10"/>
  <c r="B108" i="10"/>
  <c r="Y108" i="10" s="1"/>
  <c r="Y107" i="10"/>
  <c r="I107" i="10"/>
  <c r="B107" i="10"/>
  <c r="I106" i="10"/>
  <c r="B106" i="10"/>
  <c r="Y106" i="10" s="1"/>
  <c r="I105" i="10"/>
  <c r="B105" i="10"/>
  <c r="Y105" i="10" s="1"/>
  <c r="I104" i="10"/>
  <c r="B104" i="10"/>
  <c r="Y104" i="10" s="1"/>
  <c r="I103" i="10"/>
  <c r="B103" i="10"/>
  <c r="Y103" i="10" s="1"/>
  <c r="Y102" i="10"/>
  <c r="I102" i="10"/>
  <c r="B102" i="10"/>
  <c r="Y101" i="10"/>
  <c r="I101" i="10"/>
  <c r="B101" i="10"/>
  <c r="I100" i="10"/>
  <c r="B100" i="10"/>
  <c r="Y100" i="10" s="1"/>
  <c r="Y99" i="10"/>
  <c r="I99" i="10"/>
  <c r="B99" i="10"/>
  <c r="I98" i="10"/>
  <c r="B98" i="10"/>
  <c r="Y98" i="10" s="1"/>
  <c r="I97" i="10"/>
  <c r="B97" i="10"/>
  <c r="Y97" i="10" s="1"/>
  <c r="I96" i="10"/>
  <c r="B96" i="10"/>
  <c r="Y96" i="10" s="1"/>
  <c r="I95" i="10"/>
  <c r="B95" i="10"/>
  <c r="Y95" i="10" s="1"/>
  <c r="Y94" i="10"/>
  <c r="I94" i="10"/>
  <c r="B94" i="10"/>
  <c r="Y93" i="10"/>
  <c r="I93" i="10"/>
  <c r="B93" i="10"/>
  <c r="I92" i="10"/>
  <c r="B92" i="10"/>
  <c r="Y92" i="10" s="1"/>
  <c r="Y91" i="10"/>
  <c r="I91" i="10"/>
  <c r="B91" i="10"/>
  <c r="I90" i="10"/>
  <c r="B90" i="10"/>
  <c r="Y90" i="10" s="1"/>
  <c r="I89" i="10"/>
  <c r="B89" i="10"/>
  <c r="Y89" i="10" s="1"/>
  <c r="I88" i="10"/>
  <c r="B88" i="10"/>
  <c r="Y88" i="10" s="1"/>
  <c r="I87" i="10"/>
  <c r="B87" i="10"/>
  <c r="Y87" i="10" s="1"/>
  <c r="Y86" i="10"/>
  <c r="I86" i="10"/>
  <c r="B86" i="10"/>
  <c r="Y85" i="10"/>
  <c r="I85" i="10"/>
  <c r="B85" i="10"/>
  <c r="I84" i="10"/>
  <c r="B84" i="10"/>
  <c r="Y84" i="10" s="1"/>
  <c r="Y83" i="10"/>
  <c r="I83" i="10"/>
  <c r="B83" i="10"/>
  <c r="I82" i="10"/>
  <c r="B82" i="10"/>
  <c r="Y82" i="10" s="1"/>
  <c r="I81" i="10"/>
  <c r="B81" i="10"/>
  <c r="Y81" i="10" s="1"/>
  <c r="I80" i="10"/>
  <c r="B80" i="10"/>
  <c r="Y80" i="10" s="1"/>
  <c r="I79" i="10"/>
  <c r="B79" i="10"/>
  <c r="Y79" i="10" s="1"/>
  <c r="Y78" i="10"/>
  <c r="I78" i="10"/>
  <c r="B78" i="10"/>
  <c r="Y77" i="10"/>
  <c r="I77" i="10"/>
  <c r="B77" i="10"/>
  <c r="I76" i="10"/>
  <c r="B76" i="10"/>
  <c r="Y76" i="10" s="1"/>
  <c r="Y75" i="10"/>
  <c r="I75" i="10"/>
  <c r="B75" i="10"/>
  <c r="I74" i="10"/>
  <c r="B74" i="10"/>
  <c r="Y74" i="10" s="1"/>
  <c r="I73" i="10"/>
  <c r="B73" i="10"/>
  <c r="Y73" i="10" s="1"/>
  <c r="I72" i="10"/>
  <c r="B72" i="10"/>
  <c r="Y72" i="10" s="1"/>
  <c r="I71" i="10"/>
  <c r="B71" i="10"/>
  <c r="Y71" i="10" s="1"/>
  <c r="Y70" i="10"/>
  <c r="I70" i="10"/>
  <c r="B70" i="10"/>
  <c r="Y69" i="10"/>
  <c r="I69" i="10"/>
  <c r="B69" i="10"/>
  <c r="I68" i="10"/>
  <c r="B68" i="10"/>
  <c r="Y68" i="10" s="1"/>
  <c r="Y67" i="10"/>
  <c r="I67" i="10"/>
  <c r="B67" i="10"/>
  <c r="I66" i="10"/>
  <c r="B66" i="10"/>
  <c r="Y66" i="10" s="1"/>
  <c r="I65" i="10"/>
  <c r="B65" i="10"/>
  <c r="Y65" i="10" s="1"/>
  <c r="I64" i="10"/>
  <c r="B64" i="10"/>
  <c r="Y64" i="10" s="1"/>
  <c r="I63" i="10"/>
  <c r="B63" i="10"/>
  <c r="Y63" i="10" s="1"/>
  <c r="Y62" i="10"/>
  <c r="I62" i="10"/>
  <c r="B62" i="10"/>
  <c r="Y61" i="10"/>
  <c r="I61" i="10"/>
  <c r="B61" i="10"/>
  <c r="I60" i="10"/>
  <c r="B60" i="10"/>
  <c r="Y60" i="10" s="1"/>
  <c r="Y59" i="10"/>
  <c r="I59" i="10"/>
  <c r="B59" i="10"/>
  <c r="I58" i="10"/>
  <c r="B58" i="10"/>
  <c r="Y58" i="10" s="1"/>
  <c r="I57" i="10"/>
  <c r="B57" i="10"/>
  <c r="Y57" i="10" s="1"/>
  <c r="I56" i="10"/>
  <c r="B56" i="10"/>
  <c r="Y56" i="10" s="1"/>
  <c r="I55" i="10"/>
  <c r="B55" i="10"/>
  <c r="Y55" i="10" s="1"/>
  <c r="Y54" i="10"/>
  <c r="I54" i="10"/>
  <c r="B54" i="10"/>
  <c r="Y53" i="10"/>
  <c r="I53" i="10"/>
  <c r="B53" i="10"/>
  <c r="I52" i="10"/>
  <c r="B52" i="10"/>
  <c r="Y52" i="10" s="1"/>
  <c r="Y51" i="10"/>
  <c r="I51" i="10"/>
  <c r="B51" i="10"/>
  <c r="I50" i="10"/>
  <c r="B50" i="10"/>
  <c r="Y50" i="10" s="1"/>
  <c r="I49" i="10"/>
  <c r="B49" i="10"/>
  <c r="Y49" i="10" s="1"/>
  <c r="I48" i="10"/>
  <c r="B48" i="10"/>
  <c r="Y48" i="10" s="1"/>
  <c r="I47" i="10"/>
  <c r="B47" i="10"/>
  <c r="Y47" i="10" s="1"/>
  <c r="Y46" i="10"/>
  <c r="I46" i="10"/>
  <c r="B46" i="10"/>
  <c r="Y45" i="10"/>
  <c r="I45" i="10"/>
  <c r="B45" i="10"/>
  <c r="I44" i="10"/>
  <c r="B44" i="10"/>
  <c r="Y44" i="10" s="1"/>
  <c r="I43" i="10"/>
  <c r="B43" i="10"/>
  <c r="Y43" i="10" s="1"/>
  <c r="I42" i="10"/>
  <c r="B42" i="10"/>
  <c r="Y42" i="10" s="1"/>
  <c r="I41" i="10"/>
  <c r="B41" i="10"/>
  <c r="Y41" i="10" s="1"/>
  <c r="I40" i="10"/>
  <c r="B40" i="10"/>
  <c r="Y40" i="10" s="1"/>
  <c r="I39" i="10"/>
  <c r="B39" i="10"/>
  <c r="Y39" i="10" s="1"/>
  <c r="I38" i="10"/>
  <c r="B38" i="10"/>
  <c r="Y38" i="10" s="1"/>
  <c r="I37" i="10"/>
  <c r="B37" i="10"/>
  <c r="Y37" i="10" s="1"/>
  <c r="I36" i="10"/>
  <c r="B36" i="10"/>
  <c r="Y36" i="10" s="1"/>
  <c r="Y35" i="10"/>
  <c r="I35" i="10"/>
  <c r="B35" i="10"/>
  <c r="B34" i="10"/>
  <c r="Y34" i="10" s="1"/>
  <c r="Y33" i="10"/>
  <c r="B33" i="10"/>
  <c r="B32" i="10"/>
  <c r="Y32" i="10" s="1"/>
  <c r="B31" i="10"/>
  <c r="Y31" i="10" s="1"/>
  <c r="B30" i="10"/>
  <c r="Y30" i="10" s="1"/>
  <c r="Y29" i="10"/>
  <c r="B29" i="10"/>
  <c r="B28" i="10"/>
  <c r="Y28" i="10" s="1"/>
  <c r="B27" i="10"/>
  <c r="Y27" i="10" s="1"/>
  <c r="B26" i="10"/>
  <c r="Y26" i="10" s="1"/>
  <c r="Y25" i="10"/>
  <c r="B25" i="10"/>
  <c r="B24" i="10"/>
  <c r="Y24" i="10" s="1"/>
  <c r="B23" i="10"/>
  <c r="Y23" i="10" s="1"/>
  <c r="B22" i="10"/>
  <c r="Y22" i="10" s="1"/>
  <c r="Y21" i="10"/>
  <c r="B21" i="10"/>
  <c r="B20" i="10"/>
  <c r="Y20" i="10" s="1"/>
  <c r="B19" i="10"/>
  <c r="Y19" i="10" s="1"/>
  <c r="B18" i="10"/>
  <c r="Y18" i="10" s="1"/>
  <c r="Y17" i="10"/>
  <c r="B17" i="10"/>
  <c r="B16" i="10"/>
  <c r="Y16" i="10" s="1"/>
  <c r="B15" i="10"/>
  <c r="Y15" i="10" s="1"/>
  <c r="B14" i="10"/>
  <c r="Y14" i="10" s="1"/>
  <c r="Y13" i="10"/>
  <c r="B13" i="10"/>
  <c r="B12" i="10"/>
  <c r="Y12" i="10" s="1"/>
  <c r="B11" i="10"/>
  <c r="Y11" i="10" s="1"/>
  <c r="B10" i="10"/>
  <c r="Y10" i="10" s="1"/>
  <c r="B9" i="10"/>
  <c r="Y9" i="10" s="1"/>
  <c r="B8" i="10"/>
  <c r="Y8" i="10" s="1"/>
  <c r="B7" i="10"/>
  <c r="Y7" i="10" s="1"/>
  <c r="B6" i="10"/>
  <c r="Y6" i="10" s="1"/>
  <c r="B5" i="10"/>
  <c r="Y5" i="10" s="1"/>
  <c r="B4" i="10"/>
  <c r="Y4" i="10" s="1"/>
  <c r="O1" i="10"/>
  <c r="N1" i="10"/>
  <c r="M1" i="10"/>
  <c r="L1" i="10"/>
  <c r="K1" i="10"/>
  <c r="J1" i="10"/>
  <c r="K2" i="10"/>
  <c r="N2" i="10"/>
  <c r="M2" i="10"/>
  <c r="J2" i="10"/>
  <c r="L2" i="10"/>
  <c r="O2" i="10"/>
  <c r="W36" i="10" l="1"/>
  <c r="W43" i="10"/>
  <c r="W10" i="10"/>
  <c r="W8" i="10"/>
  <c r="W6" i="10"/>
  <c r="W4" i="10"/>
  <c r="W42" i="10"/>
  <c r="W11" i="10"/>
  <c r="W9" i="10"/>
  <c r="W7" i="10"/>
  <c r="W5" i="10"/>
  <c r="W37" i="10"/>
  <c r="W41" i="10"/>
  <c r="W39" i="10"/>
  <c r="W40" i="10"/>
  <c r="W38" i="10"/>
  <c r="T39" i="10"/>
  <c r="T38" i="10"/>
  <c r="T37" i="10"/>
  <c r="T6" i="10"/>
  <c r="T40" i="10"/>
  <c r="T36" i="10"/>
  <c r="T42" i="10"/>
  <c r="T11" i="10"/>
  <c r="T10" i="10"/>
  <c r="T9" i="10"/>
  <c r="T7" i="10"/>
  <c r="T5" i="10"/>
  <c r="T43" i="10"/>
  <c r="T8" i="10"/>
  <c r="T4" i="10"/>
  <c r="T41" i="10"/>
  <c r="R41" i="10"/>
  <c r="R40" i="10"/>
  <c r="R11" i="10"/>
  <c r="R8" i="10"/>
  <c r="R5" i="10"/>
  <c r="R39" i="10"/>
  <c r="R42" i="10"/>
  <c r="R9" i="10"/>
  <c r="R4" i="10"/>
  <c r="R38" i="10"/>
  <c r="R37" i="10"/>
  <c r="R36" i="10"/>
  <c r="R7" i="10"/>
  <c r="R10" i="10"/>
  <c r="R6" i="10"/>
  <c r="R43" i="10"/>
  <c r="U38" i="10"/>
  <c r="U37" i="10"/>
  <c r="U36" i="10"/>
  <c r="U43" i="10"/>
  <c r="U8" i="10"/>
  <c r="U4" i="10"/>
  <c r="U41" i="10"/>
  <c r="U42" i="10"/>
  <c r="U11" i="10"/>
  <c r="U10" i="10"/>
  <c r="U9" i="10"/>
  <c r="U7" i="10"/>
  <c r="U6" i="10"/>
  <c r="U5" i="10"/>
  <c r="U39" i="10"/>
  <c r="U40" i="10"/>
  <c r="V37" i="10"/>
  <c r="V36" i="10"/>
  <c r="V43" i="10"/>
  <c r="V42" i="10"/>
  <c r="V11" i="10"/>
  <c r="V10" i="10"/>
  <c r="V9" i="10"/>
  <c r="V8" i="10"/>
  <c r="V7" i="10"/>
  <c r="V6" i="10"/>
  <c r="V5" i="10"/>
  <c r="V4" i="10"/>
  <c r="V38" i="10"/>
  <c r="V41" i="10"/>
  <c r="V40" i="10"/>
  <c r="V39" i="10"/>
  <c r="S40" i="10"/>
  <c r="S39" i="10"/>
  <c r="S38" i="10"/>
  <c r="S37" i="10"/>
  <c r="S41" i="10"/>
  <c r="S36" i="10"/>
  <c r="S43" i="10"/>
  <c r="S42" i="10"/>
  <c r="S11" i="10"/>
  <c r="S10" i="10"/>
  <c r="S9" i="10"/>
  <c r="S8" i="10"/>
  <c r="S7" i="10"/>
  <c r="S6" i="10"/>
  <c r="S5" i="10"/>
  <c r="S4" i="10"/>
</calcChain>
</file>

<file path=xl/sharedStrings.xml><?xml version="1.0" encoding="utf-8"?>
<sst xmlns="http://schemas.openxmlformats.org/spreadsheetml/2006/main" count="2548" uniqueCount="712">
  <si>
    <t>NC</t>
  </si>
  <si>
    <t>Color</t>
  </si>
  <si>
    <t>PunchReady</t>
  </si>
  <si>
    <t>Yl</t>
  </si>
  <si>
    <t>Vi</t>
  </si>
  <si>
    <t>Tan</t>
  </si>
  <si>
    <t>Wh</t>
  </si>
  <si>
    <t>Gy</t>
  </si>
  <si>
    <r>
      <t>V</t>
    </r>
    <r>
      <rPr>
        <vertAlign val="subscript"/>
        <sz val="14"/>
        <color theme="1"/>
        <rFont val="Calibri"/>
        <family val="2"/>
        <scheme val="minor"/>
      </rPr>
      <t>IH</t>
    </r>
  </si>
  <si>
    <r>
      <t>V</t>
    </r>
    <r>
      <rPr>
        <vertAlign val="subscript"/>
        <sz val="14"/>
        <color theme="1"/>
        <rFont val="Calibri"/>
        <family val="2"/>
        <scheme val="minor"/>
      </rPr>
      <t>IL</t>
    </r>
  </si>
  <si>
    <t>2.0V min</t>
  </si>
  <si>
    <t>0.8V max</t>
  </si>
  <si>
    <r>
      <t>I</t>
    </r>
    <r>
      <rPr>
        <vertAlign val="subscript"/>
        <sz val="14"/>
        <color theme="1"/>
        <rFont val="Calibri"/>
        <family val="2"/>
        <scheme val="minor"/>
      </rPr>
      <t>IL</t>
    </r>
  </si>
  <si>
    <t>-1.6 mA</t>
  </si>
  <si>
    <r>
      <t>V</t>
    </r>
    <r>
      <rPr>
        <vertAlign val="subscript"/>
        <sz val="14"/>
        <color theme="1"/>
        <rFont val="Calibri"/>
        <family val="2"/>
        <scheme val="minor"/>
      </rPr>
      <t>OL</t>
    </r>
  </si>
  <si>
    <r>
      <t>V</t>
    </r>
    <r>
      <rPr>
        <vertAlign val="subscript"/>
        <sz val="14"/>
        <color theme="1"/>
        <rFont val="Calibri"/>
        <family val="2"/>
        <scheme val="minor"/>
      </rPr>
      <t>OH</t>
    </r>
  </si>
  <si>
    <t>2.4V min</t>
  </si>
  <si>
    <t>0.4V max</t>
  </si>
  <si>
    <t>H10 Punch Inputs</t>
  </si>
  <si>
    <t>H10 Reader Outputs</t>
  </si>
  <si>
    <t>H10 Control Inputs</t>
  </si>
  <si>
    <t>H10 Control Outputs</t>
  </si>
  <si>
    <r>
      <t>I</t>
    </r>
    <r>
      <rPr>
        <vertAlign val="subscript"/>
        <sz val="14"/>
        <color theme="1"/>
        <rFont val="Calibri"/>
        <family val="2"/>
        <scheme val="minor"/>
      </rPr>
      <t>OL</t>
    </r>
  </si>
  <si>
    <t>16mA</t>
  </si>
  <si>
    <t>Open Collector w/1k pullup to 4.4V</t>
  </si>
  <si>
    <t>+15V max</t>
  </si>
  <si>
    <r>
      <t>V</t>
    </r>
    <r>
      <rPr>
        <vertAlign val="subscript"/>
        <sz val="14"/>
        <color theme="1"/>
        <rFont val="Calibri"/>
        <family val="2"/>
        <scheme val="minor"/>
      </rPr>
      <t>OH</t>
    </r>
    <r>
      <rPr>
        <vertAlign val="superscript"/>
        <sz val="14"/>
        <color theme="1"/>
        <rFont val="Calibri"/>
        <family val="2"/>
      </rPr>
      <t>†</t>
    </r>
  </si>
  <si>
    <t>†</t>
  </si>
  <si>
    <t>3.98V min</t>
  </si>
  <si>
    <t>0.26V max</t>
  </si>
  <si>
    <t>3.15 min</t>
  </si>
  <si>
    <t>1.35 max</t>
  </si>
  <si>
    <t>&lt;&lt;&lt;&lt;&lt;</t>
  </si>
  <si>
    <t>&gt;&gt;&gt;&gt;&gt;</t>
  </si>
  <si>
    <t>1uA</t>
  </si>
  <si>
    <t>0.1uA</t>
  </si>
  <si>
    <t>74HC595 Outputs @ 4.5V VCC</t>
  </si>
  <si>
    <t>74HCT595 Outputs @ 4.5V VCC</t>
  </si>
  <si>
    <t>1.6 typ</t>
  </si>
  <si>
    <t>1.2 typ</t>
  </si>
  <si>
    <t>DB-9 RS-232 Wiring</t>
  </si>
  <si>
    <t>View from front of connector</t>
  </si>
  <si>
    <t>DB9-F</t>
  </si>
  <si>
    <t>10-pinFlat</t>
  </si>
  <si>
    <t>nc</t>
  </si>
  <si>
    <t>RxD (3)</t>
  </si>
  <si>
    <t>DTR (4)</t>
  </si>
  <si>
    <t>GND (5)</t>
  </si>
  <si>
    <t>TxD (2)</t>
  </si>
  <si>
    <t>CTS (7)</t>
  </si>
  <si>
    <t>RTS (8)</t>
  </si>
  <si>
    <t>RI (9)</t>
  </si>
  <si>
    <t>GND</t>
  </si>
  <si>
    <t>Yel</t>
  </si>
  <si>
    <t>Blu</t>
  </si>
  <si>
    <t>Grn</t>
  </si>
  <si>
    <t>Function</t>
  </si>
  <si>
    <t>~ReaderReady</t>
  </si>
  <si>
    <t>~ReaderStart</t>
  </si>
  <si>
    <t>~PunchStart</t>
  </si>
  <si>
    <t>~PunchReady</t>
  </si>
  <si>
    <t>RDO-0</t>
  </si>
  <si>
    <t>RDO-1</t>
  </si>
  <si>
    <t>RDO-2</t>
  </si>
  <si>
    <t>RDO-3</t>
  </si>
  <si>
    <t>RDO-4</t>
  </si>
  <si>
    <t>RDO-5</t>
  </si>
  <si>
    <t>RDO-6</t>
  </si>
  <si>
    <t>RDO-7</t>
  </si>
  <si>
    <t>PDI-0</t>
  </si>
  <si>
    <t>PDI-1</t>
  </si>
  <si>
    <t>PDI-2</t>
  </si>
  <si>
    <t>PDI-3</t>
  </si>
  <si>
    <t>PDI-4</t>
  </si>
  <si>
    <t>PDI-5</t>
  </si>
  <si>
    <t>PDI-6</t>
  </si>
  <si>
    <t>PDI-7</t>
  </si>
  <si>
    <t>DB-25</t>
  </si>
  <si>
    <t>+12V</t>
  </si>
  <si>
    <t>Wire #</t>
  </si>
  <si>
    <t>24a</t>
  </si>
  <si>
    <t>H10 Transistion Cable Wiring</t>
  </si>
  <si>
    <t>24-pin Molex to DB-25</t>
  </si>
  <si>
    <t>Blk</t>
  </si>
  <si>
    <t>Red</t>
  </si>
  <si>
    <t>Rd</t>
  </si>
  <si>
    <t>Bl</t>
  </si>
  <si>
    <t>Or</t>
  </si>
  <si>
    <t>Gr</t>
  </si>
  <si>
    <t>Rd/Yl</t>
  </si>
  <si>
    <t>Pk</t>
  </si>
  <si>
    <t>Rd/Bk</t>
  </si>
  <si>
    <t>Color Internal</t>
  </si>
  <si>
    <t>Color External</t>
  </si>
  <si>
    <t>Wh/Or</t>
  </si>
  <si>
    <t>Wh/Yl</t>
  </si>
  <si>
    <t>Wh/Gr</t>
  </si>
  <si>
    <t>Wh/Bl</t>
  </si>
  <si>
    <t>Wh/Vi</t>
  </si>
  <si>
    <t>Wh/Gy</t>
  </si>
  <si>
    <t>Wh/Br</t>
  </si>
  <si>
    <t>Wh/Rd</t>
  </si>
  <si>
    <t>SW4 Pin</t>
  </si>
  <si>
    <t>Wh/Bk/Rd</t>
  </si>
  <si>
    <t>Gr/Rd</t>
  </si>
  <si>
    <t>Wh/Bk</t>
  </si>
  <si>
    <t>N/C</t>
  </si>
  <si>
    <t>22a</t>
  </si>
  <si>
    <t>22b</t>
  </si>
  <si>
    <t>Wire</t>
  </si>
  <si>
    <t>RD-0</t>
  </si>
  <si>
    <t>RD-1</t>
  </si>
  <si>
    <t>RD-2</t>
  </si>
  <si>
    <t>RD-3</t>
  </si>
  <si>
    <t>RD-4</t>
  </si>
  <si>
    <t>RD-5</t>
  </si>
  <si>
    <t>RD-6</t>
  </si>
  <si>
    <t>RD-7</t>
  </si>
  <si>
    <t>PD-0</t>
  </si>
  <si>
    <t>PD-1</t>
  </si>
  <si>
    <t>PD-2</t>
  </si>
  <si>
    <t>PD-3</t>
  </si>
  <si>
    <t>PD-4</t>
  </si>
  <si>
    <t>PD-5</t>
  </si>
  <si>
    <t>PD-6</t>
  </si>
  <si>
    <t>PD-7</t>
  </si>
  <si>
    <t>23a</t>
  </si>
  <si>
    <t>DB25</t>
  </si>
  <si>
    <t>24-Pin Molex</t>
  </si>
  <si>
    <t>Wh/Brn</t>
  </si>
  <si>
    <t>Wh/Red</t>
  </si>
  <si>
    <t>Wh/Org</t>
  </si>
  <si>
    <t>Wh/Yel</t>
  </si>
  <si>
    <t>Wh/Grn</t>
  </si>
  <si>
    <t>Wh/Blu</t>
  </si>
  <si>
    <t>Brn</t>
  </si>
  <si>
    <t>Org</t>
  </si>
  <si>
    <t>Wh/Brn/Blk</t>
  </si>
  <si>
    <t>Gry</t>
  </si>
  <si>
    <t>Vio</t>
  </si>
  <si>
    <t>Wh/Vio</t>
  </si>
  <si>
    <t>Wh/Gry</t>
  </si>
  <si>
    <t>Wh/Brn/Bk</t>
  </si>
  <si>
    <t>SW4</t>
  </si>
  <si>
    <t>Back</t>
  </si>
  <si>
    <t>Blk (New)</t>
  </si>
  <si>
    <t>5,22</t>
  </si>
  <si>
    <t>Red (New)</t>
  </si>
  <si>
    <t>+9V</t>
  </si>
  <si>
    <t>9,18</t>
  </si>
  <si>
    <t>21,24</t>
  </si>
  <si>
    <t>11,25</t>
  </si>
  <si>
    <t>4.4V min</t>
  </si>
  <si>
    <t>0.33V max</t>
  </si>
  <si>
    <t>CD74HCT165 Inputs</t>
  </si>
  <si>
    <t>SN74HCT165 Inputs</t>
  </si>
  <si>
    <t>SN74HC165 Inputs</t>
  </si>
  <si>
    <t xml:space="preserve">3.98V </t>
  </si>
  <si>
    <t>4mA</t>
  </si>
  <si>
    <t>0.33V</t>
  </si>
  <si>
    <t xml:space="preserve">3.84V </t>
  </si>
  <si>
    <t>Out</t>
  </si>
  <si>
    <t>In</t>
  </si>
  <si>
    <t>DSR (6)</t>
  </si>
  <si>
    <t>DCD (1)</t>
  </si>
  <si>
    <t>DCE</t>
  </si>
  <si>
    <t>DTE</t>
  </si>
  <si>
    <t>DCD</t>
  </si>
  <si>
    <t>Rx</t>
  </si>
  <si>
    <t>Tx</t>
  </si>
  <si>
    <t>DTR</t>
  </si>
  <si>
    <t>DSR</t>
  </si>
  <si>
    <t>RTS</t>
  </si>
  <si>
    <t>CTS</t>
  </si>
  <si>
    <t>RI</t>
  </si>
  <si>
    <t>Data Carrier Detect</t>
  </si>
  <si>
    <t>Receive Data</t>
  </si>
  <si>
    <t>Transmit Data</t>
  </si>
  <si>
    <t>Data Terminal Ready</t>
  </si>
  <si>
    <t>Data Set Ready</t>
  </si>
  <si>
    <t>Request To Send</t>
  </si>
  <si>
    <t>Clear To Send</t>
  </si>
  <si>
    <t>Ring Indicator</t>
  </si>
  <si>
    <t>DB9-M</t>
  </si>
  <si>
    <t>LM2901</t>
  </si>
  <si>
    <t>9600</t>
  </si>
  <si>
    <t>AND gated J-K master-slave flip-flop, asynchronous preset and clear</t>
  </si>
  <si>
    <t>quad 2-input NAND gate</t>
  </si>
  <si>
    <t>quad 2-input AND gate</t>
  </si>
  <si>
    <t>Quad Differential Comparators</t>
  </si>
  <si>
    <t>SN74x00</t>
  </si>
  <si>
    <t>SN74x08</t>
  </si>
  <si>
    <t>SN74x09</t>
  </si>
  <si>
    <t>SN74x121</t>
  </si>
  <si>
    <t>SN74x17</t>
  </si>
  <si>
    <t>SN74x72</t>
  </si>
  <si>
    <t>SN74x74</t>
  </si>
  <si>
    <t>quad 2-input AND gate w/open-collector</t>
  </si>
  <si>
    <t>monostable multivibrator w/Schmitt-trigger</t>
  </si>
  <si>
    <t>hex buffer gate w/open-collector</t>
  </si>
  <si>
    <t xml:space="preserve">dual D positive edge triggered flip-flop, asynchronous preset and clear	</t>
  </si>
  <si>
    <t>Type</t>
  </si>
  <si>
    <t>Description</t>
  </si>
  <si>
    <t>ICx</t>
  </si>
  <si>
    <t>one-shot</t>
  </si>
  <si>
    <t>RD0</t>
  </si>
  <si>
    <t>RD1</t>
  </si>
  <si>
    <t>RD2</t>
  </si>
  <si>
    <t>RD3</t>
  </si>
  <si>
    <t>RD4</t>
  </si>
  <si>
    <t>RD5</t>
  </si>
  <si>
    <t>RD6</t>
  </si>
  <si>
    <t>RD7</t>
  </si>
  <si>
    <t>PD0</t>
  </si>
  <si>
    <t>PD1</t>
  </si>
  <si>
    <t>PD2</t>
  </si>
  <si>
    <t>PD3</t>
  </si>
  <si>
    <t>PD4</t>
  </si>
  <si>
    <t>PD5</t>
  </si>
  <si>
    <t>PD6</t>
  </si>
  <si>
    <t>PD7</t>
  </si>
  <si>
    <t>ReaderReady#</t>
  </si>
  <si>
    <t>ReaderStart#</t>
  </si>
  <si>
    <t>PunchReady#</t>
  </si>
  <si>
    <t>Output</t>
  </si>
  <si>
    <t>Input</t>
  </si>
  <si>
    <t>PunchStart#</t>
  </si>
  <si>
    <t>2x13 Header</t>
  </si>
  <si>
    <t>P3 4x6 Molex</t>
  </si>
  <si>
    <t>PunchStart</t>
  </si>
  <si>
    <t>Blue</t>
  </si>
  <si>
    <t>Green</t>
  </si>
  <si>
    <t>Orange</t>
  </si>
  <si>
    <t>White/Brown</t>
  </si>
  <si>
    <t>White/Green</t>
  </si>
  <si>
    <t>Yellow</t>
  </si>
  <si>
    <t>White/Red</t>
  </si>
  <si>
    <t>White/Blue</t>
  </si>
  <si>
    <t>Black</t>
  </si>
  <si>
    <t>Grey</t>
  </si>
  <si>
    <t>Brown</t>
  </si>
  <si>
    <t>White/Yellow</t>
  </si>
  <si>
    <t>White/Grey</t>
  </si>
  <si>
    <t>Purple</t>
  </si>
  <si>
    <t>White/Purple</t>
  </si>
  <si>
    <t>Whitw/Orange</t>
  </si>
  <si>
    <t>White/Browh</t>
  </si>
  <si>
    <t>--6--</t>
  </si>
  <si>
    <t>--7--</t>
  </si>
  <si>
    <t>--3--</t>
  </si>
  <si>
    <t>--0--</t>
  </si>
  <si>
    <t>--1--</t>
  </si>
  <si>
    <t>--2--</t>
  </si>
  <si>
    <t>--4-</t>
  </si>
  <si>
    <t>--5--</t>
  </si>
  <si>
    <t>White/Yello</t>
  </si>
  <si>
    <t>BK</t>
  </si>
  <si>
    <t>RD</t>
  </si>
  <si>
    <t>Cable</t>
  </si>
  <si>
    <t>Name</t>
  </si>
  <si>
    <t>Gn</t>
  </si>
  <si>
    <t>Bk</t>
  </si>
  <si>
    <t>PunchData</t>
  </si>
  <si>
    <t>25mSec Min</t>
  </si>
  <si>
    <t>200nS Min  80mS Max</t>
  </si>
  <si>
    <t>Reader Data</t>
  </si>
  <si>
    <t>100nS
min</t>
  </si>
  <si>
    <t>200nS
Max</t>
  </si>
  <si>
    <t>200ns
Max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</si>
  <si>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</si>
  <si>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</si>
  <si>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</si>
  <si>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</si>
  <si>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</si>
  <si>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</si>
  <si>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</si>
  <si>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</si>
  <si>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</si>
  <si>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</si>
  <si>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</si>
  <si>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</si>
  <si>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</si>
  <si>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</si>
  <si>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ICSP-GND</t>
  </si>
  <si>
    <t>ICSP-Vcc</t>
  </si>
  <si>
    <t>ICSP-RSTn</t>
  </si>
  <si>
    <t>ICSP-SCK</t>
  </si>
  <si>
    <t>ISCP-MOSI</t>
  </si>
  <si>
    <t>ISCP-MISO</t>
  </si>
  <si>
    <t>A0</t>
  </si>
  <si>
    <t>A1</t>
  </si>
  <si>
    <t>A2</t>
  </si>
  <si>
    <t>A3</t>
  </si>
  <si>
    <t>A4</t>
  </si>
  <si>
    <t>A5</t>
  </si>
  <si>
    <t>A6</t>
  </si>
  <si>
    <t>SCK</t>
  </si>
  <si>
    <t>SDA</t>
  </si>
  <si>
    <t>PunchDataLatch</t>
  </si>
  <si>
    <t>ReadDataLoad</t>
  </si>
  <si>
    <t>ReaderStart</t>
  </si>
  <si>
    <t>ReaderReady</t>
  </si>
  <si>
    <t>LED1</t>
  </si>
  <si>
    <t>LED2</t>
  </si>
  <si>
    <t>V 0.3</t>
  </si>
  <si>
    <t>Wiz Shield</t>
  </si>
  <si>
    <t>Vcc</t>
  </si>
  <si>
    <t>RSTn</t>
  </si>
  <si>
    <t>MOSI</t>
  </si>
  <si>
    <t>MISO</t>
  </si>
  <si>
    <t>CSn</t>
  </si>
  <si>
    <t>AREF</t>
  </si>
  <si>
    <t>INTn</t>
  </si>
  <si>
    <t>INTn (2-7)</t>
  </si>
  <si>
    <t>V 0.4</t>
  </si>
  <si>
    <t>RDY</t>
  </si>
  <si>
    <t>SCLK</t>
  </si>
  <si>
    <t>SCSn</t>
  </si>
  <si>
    <t>3V3D</t>
  </si>
  <si>
    <t>ISCP MOSI</t>
  </si>
  <si>
    <t>ISCP MISO</t>
  </si>
  <si>
    <t>ISCP SCLK</t>
  </si>
  <si>
    <t>ISCP GND</t>
  </si>
  <si>
    <t>3V3</t>
  </si>
  <si>
    <t>W5100</t>
  </si>
  <si>
    <t>W5200</t>
  </si>
  <si>
    <t>W5500</t>
  </si>
  <si>
    <t>writeMR(0x08)</t>
  </si>
  <si>
    <t>writeMR(0x10)</t>
  </si>
  <si>
    <t>writeMR(0x00)</t>
  </si>
  <si>
    <t>Version = 3</t>
  </si>
  <si>
    <t>Version = 4</t>
  </si>
  <si>
    <t>5V</t>
  </si>
  <si>
    <t>RESET</t>
  </si>
  <si>
    <t>OR</t>
  </si>
  <si>
    <t>Teensy 4.0</t>
  </si>
  <si>
    <t>Teensy 4.1</t>
  </si>
  <si>
    <t>CS</t>
  </si>
  <si>
    <t>SD_SSn (8-10)</t>
  </si>
  <si>
    <t>SC_SSn</t>
  </si>
  <si>
    <t>?</t>
  </si>
  <si>
    <t>Help</t>
  </si>
  <si>
    <t>Return command help</t>
  </si>
  <si>
    <t>EC</t>
  </si>
  <si>
    <t>Echo</t>
  </si>
  <si>
    <t>Set serial port echo mode</t>
  </si>
  <si>
    <t>0/1</t>
  </si>
  <si>
    <t>PB</t>
  </si>
  <si>
    <t>Punch Byt</t>
  </si>
  <si>
    <t>Punches on byte on H10</t>
  </si>
  <si>
    <t>PT</t>
  </si>
  <si>
    <t>Punches bitmapped text on the H10</t>
  </si>
  <si>
    <t>PH</t>
  </si>
  <si>
    <t>String of characters</t>
  </si>
  <si>
    <t>Intel hex record</t>
  </si>
  <si>
    <t>Punched data from an Intel Hex record</t>
  </si>
  <si>
    <t>RB</t>
  </si>
  <si>
    <t>Read one byte from the H10</t>
  </si>
  <si>
    <t>Reads 'n' bytes and returns them in a Intel Hex record</t>
  </si>
  <si>
    <t>&lt;none&gt;</t>
  </si>
  <si>
    <t># bytes</t>
  </si>
  <si>
    <t>Help Text</t>
  </si>
  <si>
    <t>ACK</t>
  </si>
  <si>
    <t>OK</t>
  </si>
  <si>
    <t>Intel Hex Record</t>
  </si>
  <si>
    <t>1 byte</t>
  </si>
  <si>
    <t>Row</t>
  </si>
  <si>
    <t>0x00</t>
  </si>
  <si>
    <t>0x5f</t>
  </si>
  <si>
    <t>Col 0</t>
  </si>
  <si>
    <t>.</t>
  </si>
  <si>
    <t>0,0-</t>
  </si>
  <si>
    <t>0,0</t>
  </si>
  <si>
    <t>00000000</t>
  </si>
  <si>
    <t>row0</t>
  </si>
  <si>
    <t>Col 1</t>
  </si>
  <si>
    <t>0,1</t>
  </si>
  <si>
    <t>1,0</t>
  </si>
  <si>
    <t>row1</t>
  </si>
  <si>
    <t>0x04</t>
  </si>
  <si>
    <t>Col 2</t>
  </si>
  <si>
    <t>x</t>
  </si>
  <si>
    <t>0,2</t>
  </si>
  <si>
    <t>2,0</t>
  </si>
  <si>
    <t>01011111</t>
  </si>
  <si>
    <t>row2</t>
  </si>
  <si>
    <t>Col 3</t>
  </si>
  <si>
    <t>0,3</t>
  </si>
  <si>
    <t>3,0</t>
  </si>
  <si>
    <t>row3</t>
  </si>
  <si>
    <t>Col 4</t>
  </si>
  <si>
    <t>0,4</t>
  </si>
  <si>
    <t>4,0</t>
  </si>
  <si>
    <t>row4</t>
  </si>
  <si>
    <t>Col 5</t>
  </si>
  <si>
    <t>row5</t>
  </si>
  <si>
    <t>Col 6</t>
  </si>
  <si>
    <t>row6</t>
  </si>
  <si>
    <t>Col 7</t>
  </si>
  <si>
    <t>row7</t>
  </si>
  <si>
    <t>2,1</t>
  </si>
  <si>
    <t>1,2</t>
  </si>
  <si>
    <t>Col</t>
  </si>
  <si>
    <t>2,2</t>
  </si>
  <si>
    <t>2,3</t>
  </si>
  <si>
    <t>3,2</t>
  </si>
  <si>
    <t>Row 0</t>
  </si>
  <si>
    <t>2,4</t>
  </si>
  <si>
    <t>4,2</t>
  </si>
  <si>
    <t>Row 1</t>
  </si>
  <si>
    <t>2,5</t>
  </si>
  <si>
    <t>5,2</t>
  </si>
  <si>
    <t>Row 2</t>
  </si>
  <si>
    <t>2,6</t>
  </si>
  <si>
    <t>6,2</t>
  </si>
  <si>
    <t>Row 3</t>
  </si>
  <si>
    <t>2,7</t>
  </si>
  <si>
    <t>7,2</t>
  </si>
  <si>
    <t>Row 4</t>
  </si>
  <si>
    <t>Row 5</t>
  </si>
  <si>
    <t>Row 6</t>
  </si>
  <si>
    <t>Row 7</t>
  </si>
  <si>
    <t>0x06</t>
  </si>
  <si>
    <t>0x0e</t>
  </si>
  <si>
    <t>a5</t>
  </si>
  <si>
    <t>byte [][] CharMap = {</t>
  </si>
  <si>
    <t>#</t>
  </si>
  <si>
    <t>NUL</t>
  </si>
  <si>
    <t>0</t>
  </si>
  <si>
    <t>SOH</t>
  </si>
  <si>
    <t>Smile</t>
  </si>
  <si>
    <t>STC</t>
  </si>
  <si>
    <t>ETX</t>
  </si>
  <si>
    <t>Heart</t>
  </si>
  <si>
    <t>EOT</t>
  </si>
  <si>
    <t>Diamond</t>
  </si>
  <si>
    <t>ENQ</t>
  </si>
  <si>
    <t>Club</t>
  </si>
  <si>
    <t>Spade</t>
  </si>
  <si>
    <t>BEL</t>
  </si>
  <si>
    <t>Bullet1</t>
  </si>
  <si>
    <t>BS</t>
  </si>
  <si>
    <t>Bullet2</t>
  </si>
  <si>
    <t>HT</t>
  </si>
  <si>
    <t>Bullet3</t>
  </si>
  <si>
    <t>LF</t>
  </si>
  <si>
    <t>Bullet4</t>
  </si>
  <si>
    <t>VT</t>
  </si>
  <si>
    <t>Male</t>
  </si>
  <si>
    <t>FF</t>
  </si>
  <si>
    <t>Female</t>
  </si>
  <si>
    <t>CR</t>
  </si>
  <si>
    <t>Note</t>
  </si>
  <si>
    <t>SO</t>
  </si>
  <si>
    <t>S1</t>
  </si>
  <si>
    <t>Sun</t>
  </si>
  <si>
    <t>DLE</t>
  </si>
  <si>
    <t>RtArr</t>
  </si>
  <si>
    <t>DC1</t>
  </si>
  <si>
    <t>LfArr</t>
  </si>
  <si>
    <t>DC2</t>
  </si>
  <si>
    <t>UDArr</t>
  </si>
  <si>
    <t>DC3</t>
  </si>
  <si>
    <t>Pilcro</t>
  </si>
  <si>
    <t>DC4</t>
  </si>
  <si>
    <t>Section</t>
  </si>
  <si>
    <t>NAK</t>
  </si>
  <si>
    <t>Bar</t>
  </si>
  <si>
    <t>SYN</t>
  </si>
  <si>
    <t>ETB</t>
  </si>
  <si>
    <t>UpArr</t>
  </si>
  <si>
    <t>CAN</t>
  </si>
  <si>
    <t>DnArr</t>
  </si>
  <si>
    <t>EM</t>
  </si>
  <si>
    <t>SUB</t>
  </si>
  <si>
    <t>ESC</t>
  </si>
  <si>
    <t>Angle</t>
  </si>
  <si>
    <t>FS</t>
  </si>
  <si>
    <t>LRArr</t>
  </si>
  <si>
    <t>GS</t>
  </si>
  <si>
    <t>Up</t>
  </si>
  <si>
    <t>RS</t>
  </si>
  <si>
    <t>Down</t>
  </si>
  <si>
    <t>US</t>
  </si>
  <si>
    <t xml:space="preserve"> </t>
  </si>
  <si>
    <t>!</t>
  </si>
  <si>
    <t>0x6f</t>
  </si>
  <si>
    <t>1101111</t>
  </si>
  <si>
    <t>"</t>
  </si>
  <si>
    <t>0x07</t>
  </si>
  <si>
    <t>111</t>
  </si>
  <si>
    <t>0x14</t>
  </si>
  <si>
    <t>0x7f</t>
  </si>
  <si>
    <t>10100</t>
  </si>
  <si>
    <t>1111111</t>
  </si>
  <si>
    <t>$</t>
  </si>
  <si>
    <t>0x1e</t>
  </si>
  <si>
    <t>100</t>
  </si>
  <si>
    <t>11110</t>
  </si>
  <si>
    <t>%</t>
  </si>
  <si>
    <t>0x23</t>
  </si>
  <si>
    <t>0x13</t>
  </si>
  <si>
    <t>0x08</t>
  </si>
  <si>
    <t>0x64</t>
  </si>
  <si>
    <t>0x62</t>
  </si>
  <si>
    <t>100011</t>
  </si>
  <si>
    <t>10011</t>
  </si>
  <si>
    <t>1000</t>
  </si>
  <si>
    <t>1100100</t>
  </si>
  <si>
    <t>1100010</t>
  </si>
  <si>
    <t>&amp;</t>
  </si>
  <si>
    <t>0x36</t>
  </si>
  <si>
    <t>0x49</t>
  </si>
  <si>
    <t>0x56</t>
  </si>
  <si>
    <t>0x20</t>
  </si>
  <si>
    <t>0x50</t>
  </si>
  <si>
    <t>110110</t>
  </si>
  <si>
    <t>1001001</t>
  </si>
  <si>
    <t>1010110</t>
  </si>
  <si>
    <t>100000</t>
  </si>
  <si>
    <t>1010000</t>
  </si>
  <si>
    <t>'</t>
  </si>
  <si>
    <t>(</t>
  </si>
  <si>
    <t>0x1c</t>
  </si>
  <si>
    <t>0x22</t>
  </si>
  <si>
    <t>0x41</t>
  </si>
  <si>
    <t>11100</t>
  </si>
  <si>
    <t>100010</t>
  </si>
  <si>
    <t>1000001</t>
  </si>
  <si>
    <t>)</t>
  </si>
  <si>
    <t>*</t>
  </si>
  <si>
    <t>0x3e</t>
  </si>
  <si>
    <t>111110</t>
  </si>
  <si>
    <t>+</t>
  </si>
  <si>
    <t>,</t>
  </si>
  <si>
    <t>0x30</t>
  </si>
  <si>
    <t>110000</t>
  </si>
  <si>
    <t>-</t>
  </si>
  <si>
    <t>0x60</t>
  </si>
  <si>
    <t>1100000</t>
  </si>
  <si>
    <t>/</t>
  </si>
  <si>
    <t>0x10</t>
  </si>
  <si>
    <t>0x02</t>
  </si>
  <si>
    <t>10000</t>
  </si>
  <si>
    <t>10</t>
  </si>
  <si>
    <t>0x51</t>
  </si>
  <si>
    <t>0x45</t>
  </si>
  <si>
    <t>1010001</t>
  </si>
  <si>
    <t>1000101</t>
  </si>
  <si>
    <t>1</t>
  </si>
  <si>
    <t>0x42</t>
  </si>
  <si>
    <t>0x40</t>
  </si>
  <si>
    <t>1000010</t>
  </si>
  <si>
    <t>1000000</t>
  </si>
  <si>
    <t>2</t>
  </si>
  <si>
    <t>0x61</t>
  </si>
  <si>
    <t>0x46</t>
  </si>
  <si>
    <t>1100001</t>
  </si>
  <si>
    <t>1000110</t>
  </si>
  <si>
    <t>3</t>
  </si>
  <si>
    <t>0x21</t>
  </si>
  <si>
    <t>0x4b</t>
  </si>
  <si>
    <t>0x31</t>
  </si>
  <si>
    <t>100001</t>
  </si>
  <si>
    <t>1001011</t>
  </si>
  <si>
    <t>110001</t>
  </si>
  <si>
    <t>4</t>
  </si>
  <si>
    <t>0x18</t>
  </si>
  <si>
    <t>0x12</t>
  </si>
  <si>
    <t>11000</t>
  </si>
  <si>
    <t>10010</t>
  </si>
  <si>
    <t>5</t>
  </si>
  <si>
    <t>0x27</t>
  </si>
  <si>
    <t>0x39</t>
  </si>
  <si>
    <t>100111</t>
  </si>
  <si>
    <t>111001</t>
  </si>
  <si>
    <t>6</t>
  </si>
  <si>
    <t>0x3c</t>
  </si>
  <si>
    <t>0x4a</t>
  </si>
  <si>
    <t>111100</t>
  </si>
  <si>
    <t>1001010</t>
  </si>
  <si>
    <t>7</t>
  </si>
  <si>
    <t>0x01</t>
  </si>
  <si>
    <t>0x71</t>
  </si>
  <si>
    <t>0x09</t>
  </si>
  <si>
    <t>0x05</t>
  </si>
  <si>
    <t>0x03</t>
  </si>
  <si>
    <t>1110001</t>
  </si>
  <si>
    <t>1001</t>
  </si>
  <si>
    <t>101</t>
  </si>
  <si>
    <t>11</t>
  </si>
  <si>
    <t>8</t>
  </si>
  <si>
    <t>9</t>
  </si>
  <si>
    <t>0x29</t>
  </si>
  <si>
    <t>110</t>
  </si>
  <si>
    <t>101001</t>
  </si>
  <si>
    <t>:</t>
  </si>
  <si>
    <t>;</t>
  </si>
  <si>
    <t>&lt;</t>
  </si>
  <si>
    <t>=</t>
  </si>
  <si>
    <t>&gt;</t>
  </si>
  <si>
    <t>@</t>
  </si>
  <si>
    <t>0x5d</t>
  </si>
  <si>
    <t>0x4e</t>
  </si>
  <si>
    <t>1011101</t>
  </si>
  <si>
    <t>1001110</t>
  </si>
  <si>
    <t>A</t>
  </si>
  <si>
    <t>0x7e</t>
  </si>
  <si>
    <t>1111110</t>
  </si>
  <si>
    <t>B</t>
  </si>
  <si>
    <t>C</t>
  </si>
  <si>
    <t>D</t>
  </si>
  <si>
    <t>E</t>
  </si>
  <si>
    <t>F</t>
  </si>
  <si>
    <t>G</t>
  </si>
  <si>
    <t>0x7a</t>
  </si>
  <si>
    <t>1111010</t>
  </si>
  <si>
    <t>H</t>
  </si>
  <si>
    <t>I</t>
  </si>
  <si>
    <t>J</t>
  </si>
  <si>
    <t>0x3f</t>
  </si>
  <si>
    <t>111111</t>
  </si>
  <si>
    <t>K</t>
  </si>
  <si>
    <t>L</t>
  </si>
  <si>
    <t>M</t>
  </si>
  <si>
    <t>0x0c</t>
  </si>
  <si>
    <t>1100</t>
  </si>
  <si>
    <t>N</t>
  </si>
  <si>
    <t>O</t>
  </si>
  <si>
    <t>P</t>
  </si>
  <si>
    <t>Q</t>
  </si>
  <si>
    <t>0x5e</t>
  </si>
  <si>
    <t>1011110</t>
  </si>
  <si>
    <t>R</t>
  </si>
  <si>
    <t>0x19</t>
  </si>
  <si>
    <t>11001</t>
  </si>
  <si>
    <t>S</t>
  </si>
  <si>
    <t>T</t>
  </si>
  <si>
    <t>U</t>
  </si>
  <si>
    <t>V</t>
  </si>
  <si>
    <t>0x0f</t>
  </si>
  <si>
    <t>1111</t>
  </si>
  <si>
    <t>W</t>
  </si>
  <si>
    <t>X</t>
  </si>
  <si>
    <t>0x63</t>
  </si>
  <si>
    <t>1100011</t>
  </si>
  <si>
    <t>Y</t>
  </si>
  <si>
    <t>0x70</t>
  </si>
  <si>
    <t>1110000</t>
  </si>
  <si>
    <t>Z</t>
  </si>
  <si>
    <t>0x43</t>
  </si>
  <si>
    <t>1000011</t>
  </si>
  <si>
    <t>[</t>
  </si>
  <si>
    <t>\</t>
  </si>
  <si>
    <t>]</t>
  </si>
  <si>
    <t>^</t>
  </si>
  <si>
    <t>_</t>
  </si>
  <si>
    <t>`</t>
  </si>
  <si>
    <t>a</t>
  </si>
  <si>
    <t>0x54</t>
  </si>
  <si>
    <t>0x78</t>
  </si>
  <si>
    <t>1010100</t>
  </si>
  <si>
    <t>1111000</t>
  </si>
  <si>
    <t>b</t>
  </si>
  <si>
    <t>0x48</t>
  </si>
  <si>
    <t>0x44</t>
  </si>
  <si>
    <t>0x38</t>
  </si>
  <si>
    <t>1001000</t>
  </si>
  <si>
    <t>1000100</t>
  </si>
  <si>
    <t>111000</t>
  </si>
  <si>
    <t>c</t>
  </si>
  <si>
    <t>d</t>
  </si>
  <si>
    <t>e</t>
  </si>
  <si>
    <t>f</t>
  </si>
  <si>
    <t>g</t>
  </si>
  <si>
    <t>0x52</t>
  </si>
  <si>
    <t>1010010</t>
  </si>
  <si>
    <t>h</t>
  </si>
  <si>
    <t>i</t>
  </si>
  <si>
    <t>0x7d</t>
  </si>
  <si>
    <t>1111101</t>
  </si>
  <si>
    <t>j</t>
  </si>
  <si>
    <t>0x3d</t>
  </si>
  <si>
    <t>111101</t>
  </si>
  <si>
    <t>k</t>
  </si>
  <si>
    <t>0x28</t>
  </si>
  <si>
    <t>101000</t>
  </si>
  <si>
    <t>l</t>
  </si>
  <si>
    <t>m</t>
  </si>
  <si>
    <t>0x7c</t>
  </si>
  <si>
    <t>1111100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</si>
  <si>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</si>
  <si>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</si>
  <si>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</si>
  <si>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</si>
  <si>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</si>
  <si>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</si>
  <si>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</si>
  <si>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</si>
  <si>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</si>
  <si>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</si>
  <si>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</si>
  <si>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</si>
  <si>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0x4c</t>
  </si>
  <si>
    <t>1001100</t>
  </si>
  <si>
    <t>{</t>
  </si>
  <si>
    <t>|</t>
  </si>
  <si>
    <t>}</t>
  </si>
  <si>
    <t>~</t>
  </si>
  <si>
    <t>0x6b</t>
  </si>
  <si>
    <t>1101011</t>
  </si>
  <si>
    <t>};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</si>
</sst>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rgb="FF202122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 diagonalUp="1" diagonalDown="1">
      <left style="thick">
        <color auto="1"/>
      </left>
      <right/>
      <top style="thick">
        <color auto="1"/>
      </top>
      <bottom/>
      <diagonal style="thick">
        <color auto="1"/>
      </diagonal>
    </border>
    <border diagonalUp="1" diagonalDown="1">
      <left/>
      <right style="thick">
        <color auto="1"/>
      </right>
      <top style="thick">
        <color auto="1"/>
      </top>
      <bottom/>
      <diagonal style="thick">
        <color auto="1"/>
      </diagonal>
    </border>
    <border diagonalUp="1" diagonalDown="1">
      <left style="thick">
        <color auto="1"/>
      </left>
      <right/>
      <top/>
      <bottom style="thick">
        <color auto="1"/>
      </bottom>
      <diagonal style="thick">
        <color auto="1"/>
      </diagonal>
    </border>
    <border diagonalUp="1" diagonalDown="1">
      <left/>
      <right style="thick">
        <color auto="1"/>
      </right>
      <top/>
      <bottom style="thick">
        <color auto="1"/>
      </bottom>
      <diagonal style="thick">
        <color auto="1"/>
      </diagonal>
    </border>
    <border diagonalUp="1" diagonalDown="1">
      <left style="thick">
        <color auto="1"/>
      </left>
      <right style="thick">
        <color auto="1"/>
      </right>
      <top style="thick">
        <color auto="1"/>
      </top>
      <bottom/>
      <diagonal style="thick">
        <color auto="1"/>
      </diagonal>
    </border>
    <border diagonalUp="1" diagonalDown="1">
      <left style="thick">
        <color auto="1"/>
      </left>
      <right style="thick">
        <color auto="1"/>
      </right>
      <top/>
      <bottom style="thick">
        <color auto="1"/>
      </bottom>
      <diagonal style="thick">
        <color auto="1"/>
      </diagonal>
    </border>
  </borders>
  <cellStyleXfs count="1">
    <xf numFmtId="0" fontId="0" fillId="0" borderId="0"/>
  </cellStyleXfs>
  <cellXfs count="2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/>
    <xf numFmtId="0" fontId="4" fillId="0" borderId="0" xfId="0" applyFont="1" applyAlignment="1">
      <alignment horizontal="right"/>
    </xf>
    <xf numFmtId="0" fontId="0" fillId="2" borderId="0" xfId="0" applyFill="1"/>
    <xf numFmtId="0" fontId="0" fillId="0" borderId="0" xfId="0" quotePrefix="1" applyAlignment="1">
      <alignment horizontal="center"/>
    </xf>
    <xf numFmtId="0" fontId="5" fillId="0" borderId="0" xfId="0" applyFon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0" fontId="6" fillId="0" borderId="0" xfId="0" applyFont="1"/>
    <xf numFmtId="0" fontId="6" fillId="0" borderId="10" xfId="0" applyFont="1" applyBorder="1" applyAlignment="1">
      <alignment horizontal="center"/>
    </xf>
    <xf numFmtId="0" fontId="0" fillId="0" borderId="11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6" fillId="0" borderId="2" xfId="0" applyFont="1" applyBorder="1" applyAlignment="1">
      <alignment horizontal="center"/>
    </xf>
    <xf numFmtId="0" fontId="6" fillId="0" borderId="3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left" indent="1"/>
    </xf>
    <xf numFmtId="0" fontId="0" fillId="3" borderId="6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left" inden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9" xfId="0" applyFill="1" applyBorder="1"/>
    <xf numFmtId="0" fontId="0" fillId="4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9" xfId="0" applyFill="1" applyBorder="1"/>
    <xf numFmtId="0" fontId="0" fillId="6" borderId="8" xfId="0" applyFill="1" applyBorder="1" applyAlignment="1">
      <alignment horizontal="center"/>
    </xf>
    <xf numFmtId="0" fontId="0" fillId="6" borderId="1" xfId="0" applyFill="1" applyBorder="1" applyAlignment="1">
      <alignment horizontal="left" indent="1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9" xfId="0" applyFill="1" applyBorder="1"/>
    <xf numFmtId="0" fontId="0" fillId="9" borderId="8" xfId="0" applyFill="1" applyBorder="1" applyAlignment="1">
      <alignment horizontal="center"/>
    </xf>
    <xf numFmtId="0" fontId="0" fillId="9" borderId="1" xfId="0" applyFill="1" applyBorder="1" applyAlignment="1">
      <alignment horizontal="left" indent="1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9" xfId="0" applyFill="1" applyBorder="1"/>
    <xf numFmtId="0" fontId="0" fillId="10" borderId="13" xfId="0" applyFill="1" applyBorder="1" applyAlignment="1">
      <alignment horizontal="center" vertical="center"/>
    </xf>
    <xf numFmtId="0" fontId="0" fillId="10" borderId="15" xfId="0" applyFill="1" applyBorder="1"/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0" xfId="0" applyFill="1"/>
    <xf numFmtId="0" fontId="0" fillId="10" borderId="13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7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/>
    </xf>
    <xf numFmtId="0" fontId="0" fillId="11" borderId="13" xfId="0" applyFill="1" applyBorder="1" applyAlignment="1">
      <alignment horizontal="center" vertical="center"/>
    </xf>
    <xf numFmtId="0" fontId="0" fillId="11" borderId="0" xfId="0" applyFill="1"/>
    <xf numFmtId="0" fontId="0" fillId="11" borderId="18" xfId="0" applyFill="1" applyBorder="1" applyAlignment="1">
      <alignment horizontal="center"/>
    </xf>
    <xf numFmtId="0" fontId="0" fillId="6" borderId="17" xfId="0" applyFill="1" applyBorder="1" applyAlignment="1">
      <alignment horizontal="center" vertical="center"/>
    </xf>
    <xf numFmtId="0" fontId="0" fillId="6" borderId="0" xfId="0" applyFill="1"/>
    <xf numFmtId="0" fontId="0" fillId="6" borderId="13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3" xfId="0" applyFill="1" applyBorder="1" applyAlignment="1">
      <alignment horizontal="center" vertical="center"/>
    </xf>
    <xf numFmtId="0" fontId="0" fillId="5" borderId="0" xfId="0" applyFill="1"/>
    <xf numFmtId="0" fontId="0" fillId="5" borderId="18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3" xfId="0" applyFill="1" applyBorder="1" applyAlignment="1">
      <alignment horizontal="center" vertical="center"/>
    </xf>
    <xf numFmtId="0" fontId="0" fillId="9" borderId="0" xfId="0" applyFill="1"/>
    <xf numFmtId="0" fontId="0" fillId="9" borderId="18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3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/>
    </xf>
    <xf numFmtId="0" fontId="0" fillId="0" borderId="0" xfId="0" quotePrefix="1" applyAlignment="1">
      <alignment horizontal="left" indent="1"/>
    </xf>
    <xf numFmtId="0" fontId="0" fillId="8" borderId="20" xfId="0" applyFill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8" borderId="26" xfId="0" applyFill="1" applyBorder="1" applyAlignment="1">
      <alignment horizontal="center"/>
    </xf>
    <xf numFmtId="0" fontId="0" fillId="10" borderId="18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/>
    </xf>
    <xf numFmtId="0" fontId="7" fillId="4" borderId="1" xfId="0" applyFont="1" applyFill="1" applyBorder="1" applyAlignment="1">
      <alignment horizontal="left" indent="1"/>
    </xf>
    <xf numFmtId="0" fontId="7" fillId="0" borderId="1" xfId="0" applyFont="1" applyBorder="1" applyAlignment="1">
      <alignment horizontal="left" indent="1"/>
    </xf>
    <xf numFmtId="0" fontId="0" fillId="0" borderId="27" xfId="0" applyBorder="1"/>
    <xf numFmtId="0" fontId="8" fillId="0" borderId="28" xfId="0" applyFont="1" applyBorder="1"/>
    <xf numFmtId="0" fontId="0" fillId="0" borderId="29" xfId="0" applyBorder="1"/>
    <xf numFmtId="0" fontId="0" fillId="0" borderId="14" xfId="0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left" indent="1"/>
    </xf>
    <xf numFmtId="0" fontId="0" fillId="0" borderId="18" xfId="0" applyBorder="1" applyAlignment="1">
      <alignment horizontal="left" indent="1"/>
    </xf>
    <xf numFmtId="0" fontId="8" fillId="0" borderId="0" xfId="0" applyFont="1"/>
    <xf numFmtId="0" fontId="0" fillId="0" borderId="19" xfId="0" applyBorder="1" applyAlignment="1">
      <alignment horizontal="left" indent="1"/>
    </xf>
    <xf numFmtId="0" fontId="0" fillId="0" borderId="20" xfId="0" applyBorder="1"/>
    <xf numFmtId="0" fontId="0" fillId="0" borderId="21" xfId="0" applyBorder="1"/>
    <xf numFmtId="0" fontId="1" fillId="0" borderId="0" xfId="0" applyFont="1" applyAlignment="1">
      <alignment horizontal="left" indent="1"/>
    </xf>
    <xf numFmtId="0" fontId="1" fillId="2" borderId="0" xfId="0" applyFont="1" applyFill="1" applyAlignment="1">
      <alignment horizontal="left" indent="1"/>
    </xf>
    <xf numFmtId="0" fontId="9" fillId="0" borderId="0" xfId="0" applyFont="1"/>
    <xf numFmtId="0" fontId="0" fillId="2" borderId="31" xfId="0" applyFill="1" applyBorder="1" applyAlignment="1">
      <alignment horizontal="center"/>
    </xf>
    <xf numFmtId="0" fontId="7" fillId="2" borderId="32" xfId="0" applyFont="1" applyFill="1" applyBorder="1" applyAlignment="1">
      <alignment horizontal="left" indent="1"/>
    </xf>
    <xf numFmtId="0" fontId="0" fillId="0" borderId="33" xfId="0" applyBorder="1" applyAlignment="1">
      <alignment horizontal="left" indent="1"/>
    </xf>
    <xf numFmtId="0" fontId="0" fillId="2" borderId="32" xfId="0" applyFill="1" applyBorder="1"/>
    <xf numFmtId="0" fontId="0" fillId="2" borderId="32" xfId="0" applyFill="1" applyBorder="1" applyAlignment="1">
      <alignment horizontal="center"/>
    </xf>
    <xf numFmtId="0" fontId="0" fillId="2" borderId="34" xfId="0" applyFill="1" applyBorder="1"/>
    <xf numFmtId="0" fontId="0" fillId="0" borderId="36" xfId="0" applyBorder="1" applyAlignment="1">
      <alignment horizontal="center"/>
    </xf>
    <xf numFmtId="0" fontId="0" fillId="0" borderId="37" xfId="0" applyBorder="1"/>
    <xf numFmtId="0" fontId="0" fillId="0" borderId="37" xfId="0" applyBorder="1" applyAlignment="1">
      <alignment horizontal="center"/>
    </xf>
    <xf numFmtId="0" fontId="0" fillId="0" borderId="38" xfId="0" applyBorder="1"/>
    <xf numFmtId="0" fontId="0" fillId="6" borderId="39" xfId="0" applyFill="1" applyBorder="1" applyAlignment="1">
      <alignment horizontal="center"/>
    </xf>
    <xf numFmtId="0" fontId="0" fillId="6" borderId="30" xfId="0" applyFill="1" applyBorder="1" applyAlignment="1">
      <alignment horizontal="left" indent="1"/>
    </xf>
    <xf numFmtId="0" fontId="0" fillId="0" borderId="40" xfId="0" applyBorder="1" applyAlignment="1">
      <alignment horizontal="left" indent="1"/>
    </xf>
    <xf numFmtId="0" fontId="0" fillId="6" borderId="30" xfId="0" applyFill="1" applyBorder="1" applyAlignment="1">
      <alignment horizontal="center"/>
    </xf>
    <xf numFmtId="0" fontId="0" fillId="6" borderId="30" xfId="0" applyFill="1" applyBorder="1"/>
    <xf numFmtId="0" fontId="0" fillId="6" borderId="41" xfId="0" applyFill="1" applyBorder="1"/>
    <xf numFmtId="0" fontId="0" fillId="0" borderId="10" xfId="0" applyBorder="1" applyAlignment="1">
      <alignment horizontal="left" indent="1"/>
    </xf>
    <xf numFmtId="0" fontId="6" fillId="0" borderId="42" xfId="0" applyFont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7" fillId="2" borderId="3" xfId="0" applyFont="1" applyFill="1" applyBorder="1" applyAlignment="1">
      <alignment horizontal="left" indent="1"/>
    </xf>
    <xf numFmtId="0" fontId="0" fillId="9" borderId="32" xfId="0" applyFill="1" applyBorder="1" applyAlignment="1">
      <alignment horizontal="left" indent="1"/>
    </xf>
    <xf numFmtId="0" fontId="0" fillId="6" borderId="3" xfId="0" applyFill="1" applyBorder="1" applyAlignment="1">
      <alignment horizontal="left" indent="1"/>
    </xf>
    <xf numFmtId="0" fontId="7" fillId="2" borderId="3" xfId="0" applyFont="1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2" borderId="3" xfId="0" applyFill="1" applyBorder="1"/>
    <xf numFmtId="0" fontId="0" fillId="9" borderId="32" xfId="0" applyFill="1" applyBorder="1"/>
    <xf numFmtId="0" fontId="0" fillId="6" borderId="3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9" borderId="34" xfId="0" applyFill="1" applyBorder="1"/>
    <xf numFmtId="0" fontId="0" fillId="6" borderId="4" xfId="0" applyFill="1" applyBorder="1"/>
    <xf numFmtId="0" fontId="0" fillId="8" borderId="2" xfId="0" applyFill="1" applyBorder="1" applyAlignment="1">
      <alignment horizontal="center"/>
    </xf>
    <xf numFmtId="0" fontId="0" fillId="8" borderId="42" xfId="0" applyFill="1" applyBorder="1" applyAlignment="1">
      <alignment horizontal="center"/>
    </xf>
    <xf numFmtId="0" fontId="0" fillId="8" borderId="3" xfId="0" applyFill="1" applyBorder="1" applyAlignment="1">
      <alignment horizontal="left" indent="1"/>
    </xf>
    <xf numFmtId="0" fontId="0" fillId="8" borderId="3" xfId="0" applyFill="1" applyBorder="1" applyAlignment="1">
      <alignment horizontal="center"/>
    </xf>
    <xf numFmtId="0" fontId="0" fillId="8" borderId="3" xfId="0" quotePrefix="1" applyFill="1" applyBorder="1"/>
    <xf numFmtId="0" fontId="0" fillId="8" borderId="4" xfId="0" quotePrefix="1" applyFill="1" applyBorder="1"/>
    <xf numFmtId="0" fontId="0" fillId="0" borderId="18" xfId="0" quotePrefix="1" applyBorder="1" applyAlignment="1">
      <alignment horizontal="left" indent="1"/>
    </xf>
    <xf numFmtId="0" fontId="0" fillId="0" borderId="17" xfId="0" quotePrefix="1" applyBorder="1" applyAlignment="1">
      <alignment horizontal="left" indent="1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5" fillId="0" borderId="0" xfId="0" applyFont="1" applyAlignment="1">
      <alignment vertical="center"/>
    </xf>
    <xf numFmtId="0" fontId="0" fillId="0" borderId="55" xfId="0" applyBorder="1"/>
    <xf numFmtId="0" fontId="0" fillId="0" borderId="54" xfId="0" applyBorder="1"/>
    <xf numFmtId="0" fontId="0" fillId="0" borderId="0" xfId="0" applyAlignment="1">
      <alignment horizontal="right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1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3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40208</xdr:colOff>
      <xdr:row>2</xdr:row>
      <xdr:rowOff>75672</xdr:rowOff>
    </xdr:from>
    <xdr:to>
      <xdr:col>16</xdr:col>
      <xdr:colOff>451254</xdr:colOff>
      <xdr:row>15</xdr:row>
      <xdr:rowOff>123264</xdr:rowOff>
    </xdr:to>
    <xdr:pic>
      <xdr:nvPicPr>
        <xdr:cNvPr id="5" name="Picture 4" descr="Image result for RS232 pinou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4237" y="546319"/>
          <a:ext cx="7067341" cy="2524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0"/>
  <sheetViews>
    <sheetView zoomScale="115" zoomScaleNormal="115" workbookViewId="0">
      <pane ySplit="1" topLeftCell="A2" activePane="bottomLeft" state="frozen"/>
      <selection pane="bottomLeft" activeCell="I7" sqref="I7:N10"/>
    </sheetView>
  </sheetViews>
  <sheetFormatPr defaultRowHeight="14.4" x14ac:dyDescent="0.3"/>
  <cols>
    <col min="1" max="1" width="2.88671875" customWidth="1"/>
    <col min="2" max="2" width="9.109375" style="1"/>
    <col min="3" max="3" width="14.6640625" customWidth="1"/>
    <col min="5" max="6" width="6.44140625" customWidth="1"/>
    <col min="7" max="7" width="11.6640625" customWidth="1"/>
    <col min="9" max="9" width="6.88671875" customWidth="1"/>
    <col min="10" max="10" width="6.77734375" customWidth="1"/>
    <col min="11" max="11" width="11.109375" customWidth="1"/>
    <col min="12" max="12" width="5" customWidth="1"/>
  </cols>
  <sheetData>
    <row r="2" spans="1:14" x14ac:dyDescent="0.3">
      <c r="A2" s="12" t="s">
        <v>18</v>
      </c>
      <c r="E2" s="12" t="s">
        <v>36</v>
      </c>
      <c r="I2" s="12" t="s">
        <v>37</v>
      </c>
    </row>
    <row r="3" spans="1:14" ht="20.399999999999999" x14ac:dyDescent="0.45">
      <c r="B3" s="2" t="s">
        <v>8</v>
      </c>
      <c r="C3" t="s">
        <v>10</v>
      </c>
      <c r="D3" s="6" t="s">
        <v>32</v>
      </c>
      <c r="E3" s="125" t="s">
        <v>15</v>
      </c>
      <c r="F3" t="s">
        <v>152</v>
      </c>
      <c r="I3" s="125" t="s">
        <v>15</v>
      </c>
      <c r="J3" t="s">
        <v>28</v>
      </c>
    </row>
    <row r="4" spans="1:14" ht="20.399999999999999" x14ac:dyDescent="0.45">
      <c r="B4" s="2" t="s">
        <v>9</v>
      </c>
      <c r="C4" t="s">
        <v>11</v>
      </c>
      <c r="D4" s="6" t="s">
        <v>32</v>
      </c>
      <c r="E4" s="125" t="s">
        <v>14</v>
      </c>
      <c r="F4" t="s">
        <v>153</v>
      </c>
      <c r="I4" s="125" t="s">
        <v>14</v>
      </c>
      <c r="J4" t="s">
        <v>29</v>
      </c>
    </row>
    <row r="5" spans="1:14" ht="20.399999999999999" x14ac:dyDescent="0.45">
      <c r="B5" s="2" t="s">
        <v>12</v>
      </c>
      <c r="C5" s="3" t="s">
        <v>13</v>
      </c>
      <c r="D5" s="6" t="s">
        <v>32</v>
      </c>
    </row>
    <row r="6" spans="1:14" x14ac:dyDescent="0.3">
      <c r="D6" s="1"/>
    </row>
    <row r="7" spans="1:14" x14ac:dyDescent="0.3">
      <c r="A7" s="12" t="s">
        <v>19</v>
      </c>
      <c r="D7" s="1"/>
      <c r="E7" s="12" t="s">
        <v>156</v>
      </c>
      <c r="I7" s="12" t="s">
        <v>155</v>
      </c>
      <c r="L7" s="12" t="s">
        <v>154</v>
      </c>
    </row>
    <row r="8" spans="1:14" ht="20.399999999999999" x14ac:dyDescent="0.45">
      <c r="B8" s="2" t="s">
        <v>15</v>
      </c>
      <c r="C8" t="s">
        <v>16</v>
      </c>
      <c r="D8" s="6" t="s">
        <v>33</v>
      </c>
      <c r="E8" s="126" t="s">
        <v>8</v>
      </c>
      <c r="F8" s="5" t="s">
        <v>30</v>
      </c>
      <c r="I8" s="125" t="s">
        <v>8</v>
      </c>
      <c r="J8" t="s">
        <v>10</v>
      </c>
      <c r="K8" s="3" t="s">
        <v>38</v>
      </c>
      <c r="L8" s="125" t="s">
        <v>8</v>
      </c>
      <c r="M8" t="s">
        <v>10</v>
      </c>
      <c r="N8" s="3" t="s">
        <v>38</v>
      </c>
    </row>
    <row r="9" spans="1:14" ht="20.399999999999999" x14ac:dyDescent="0.45">
      <c r="B9" s="2" t="s">
        <v>14</v>
      </c>
      <c r="C9" t="s">
        <v>17</v>
      </c>
      <c r="D9" s="6" t="s">
        <v>33</v>
      </c>
      <c r="E9" s="125" t="s">
        <v>9</v>
      </c>
      <c r="F9" t="s">
        <v>31</v>
      </c>
      <c r="I9" s="125" t="s">
        <v>9</v>
      </c>
      <c r="J9" s="3" t="s">
        <v>11</v>
      </c>
      <c r="K9" t="s">
        <v>39</v>
      </c>
      <c r="L9" s="125" t="s">
        <v>9</v>
      </c>
      <c r="M9" s="3" t="s">
        <v>11</v>
      </c>
      <c r="N9" t="s">
        <v>39</v>
      </c>
    </row>
    <row r="10" spans="1:14" ht="20.399999999999999" x14ac:dyDescent="0.45">
      <c r="B10" s="2"/>
      <c r="E10" s="125" t="s">
        <v>12</v>
      </c>
      <c r="F10" s="3" t="s">
        <v>35</v>
      </c>
      <c r="I10" s="125" t="s">
        <v>12</v>
      </c>
      <c r="J10" s="3" t="s">
        <v>34</v>
      </c>
      <c r="L10" s="125" t="s">
        <v>12</v>
      </c>
      <c r="M10" s="3" t="s">
        <v>34</v>
      </c>
    </row>
    <row r="11" spans="1:14" x14ac:dyDescent="0.3">
      <c r="A11" s="12" t="s">
        <v>20</v>
      </c>
    </row>
    <row r="12" spans="1:14" ht="20.399999999999999" x14ac:dyDescent="0.45">
      <c r="B12" s="2" t="s">
        <v>8</v>
      </c>
      <c r="C12" t="s">
        <v>10</v>
      </c>
    </row>
    <row r="13" spans="1:14" ht="20.399999999999999" x14ac:dyDescent="0.45">
      <c r="B13" s="2" t="s">
        <v>9</v>
      </c>
      <c r="C13" t="s">
        <v>11</v>
      </c>
    </row>
    <row r="14" spans="1:14" ht="20.399999999999999" x14ac:dyDescent="0.45">
      <c r="B14" s="2" t="s">
        <v>12</v>
      </c>
      <c r="C14" s="3" t="s">
        <v>13</v>
      </c>
    </row>
    <row r="16" spans="1:14" x14ac:dyDescent="0.3">
      <c r="A16" s="12" t="s">
        <v>21</v>
      </c>
    </row>
    <row r="17" spans="2:3" ht="21" x14ac:dyDescent="0.45">
      <c r="B17" s="2" t="s">
        <v>26</v>
      </c>
      <c r="C17" s="3" t="s">
        <v>25</v>
      </c>
    </row>
    <row r="18" spans="2:3" ht="20.399999999999999" x14ac:dyDescent="0.45">
      <c r="B18" s="2" t="s">
        <v>14</v>
      </c>
      <c r="C18" t="s">
        <v>17</v>
      </c>
    </row>
    <row r="19" spans="2:3" ht="20.399999999999999" x14ac:dyDescent="0.45">
      <c r="B19" s="2" t="s">
        <v>22</v>
      </c>
      <c r="C19" s="3" t="s">
        <v>23</v>
      </c>
    </row>
    <row r="20" spans="2:3" ht="18" x14ac:dyDescent="0.35">
      <c r="B20" s="4" t="s">
        <v>27</v>
      </c>
      <c r="C20" t="s">
        <v>24</v>
      </c>
    </row>
  </sheetData>
  <sortState xmlns:xlrd2="http://schemas.microsoft.com/office/spreadsheetml/2017/richdata2" ref="B2:D27">
    <sortCondition ref="B2:B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45A5-D19F-4C04-98E7-104AEF504D46}">
  <dimension ref="A2:E8"/>
  <sheetViews>
    <sheetView workbookViewId="0">
      <selection activeCell="C5" sqref="C5"/>
    </sheetView>
  </sheetViews>
  <sheetFormatPr defaultRowHeight="14.4" x14ac:dyDescent="0.3"/>
  <cols>
    <col min="3" max="4" width="25.6640625" customWidth="1"/>
    <col min="5" max="5" width="34.5546875" customWidth="1"/>
  </cols>
  <sheetData>
    <row r="2" spans="1:5" x14ac:dyDescent="0.3">
      <c r="A2" t="s">
        <v>340</v>
      </c>
      <c r="B2" t="s">
        <v>341</v>
      </c>
      <c r="D2" t="s">
        <v>361</v>
      </c>
      <c r="E2" t="s">
        <v>342</v>
      </c>
    </row>
    <row r="3" spans="1:5" x14ac:dyDescent="0.3">
      <c r="A3" t="s">
        <v>343</v>
      </c>
      <c r="B3" t="s">
        <v>344</v>
      </c>
      <c r="C3" t="s">
        <v>346</v>
      </c>
      <c r="D3" t="s">
        <v>363</v>
      </c>
      <c r="E3" t="s">
        <v>345</v>
      </c>
    </row>
    <row r="4" spans="1:5" x14ac:dyDescent="0.3">
      <c r="A4" t="s">
        <v>347</v>
      </c>
      <c r="B4" t="s">
        <v>348</v>
      </c>
      <c r="C4" t="s">
        <v>365</v>
      </c>
      <c r="D4" t="s">
        <v>363</v>
      </c>
      <c r="E4" t="s">
        <v>349</v>
      </c>
    </row>
    <row r="5" spans="1:5" x14ac:dyDescent="0.3">
      <c r="A5" t="s">
        <v>350</v>
      </c>
      <c r="C5" t="s">
        <v>353</v>
      </c>
      <c r="D5" t="s">
        <v>363</v>
      </c>
      <c r="E5" t="s">
        <v>351</v>
      </c>
    </row>
    <row r="6" spans="1:5" x14ac:dyDescent="0.3">
      <c r="A6" t="s">
        <v>352</v>
      </c>
      <c r="C6" t="s">
        <v>354</v>
      </c>
      <c r="D6" t="s">
        <v>363</v>
      </c>
      <c r="E6" t="s">
        <v>355</v>
      </c>
    </row>
    <row r="7" spans="1:5" x14ac:dyDescent="0.3">
      <c r="A7" t="s">
        <v>356</v>
      </c>
      <c r="C7" t="s">
        <v>359</v>
      </c>
      <c r="D7" t="s">
        <v>365</v>
      </c>
      <c r="E7" t="s">
        <v>357</v>
      </c>
    </row>
    <row r="8" spans="1:5" x14ac:dyDescent="0.3">
      <c r="A8" t="s">
        <v>257</v>
      </c>
      <c r="C8" t="s">
        <v>360</v>
      </c>
      <c r="D8" t="s">
        <v>364</v>
      </c>
      <c r="E8" t="s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5E0E-6AC1-43B7-AE9C-7BC1A8B6B7E8}">
  <dimension ref="A2:F8"/>
  <sheetViews>
    <sheetView zoomScale="175" zoomScaleNormal="175" workbookViewId="0">
      <selection activeCell="B8" sqref="B8"/>
    </sheetView>
  </sheetViews>
  <sheetFormatPr defaultRowHeight="14.4" x14ac:dyDescent="0.3"/>
  <cols>
    <col min="1" max="1" width="6" customWidth="1"/>
  </cols>
  <sheetData>
    <row r="2" spans="1:6" x14ac:dyDescent="0.3">
      <c r="A2" s="12" t="s">
        <v>155</v>
      </c>
      <c r="D2" s="12" t="s">
        <v>154</v>
      </c>
    </row>
    <row r="3" spans="1:6" ht="20.399999999999999" x14ac:dyDescent="0.45">
      <c r="A3" s="125" t="s">
        <v>8</v>
      </c>
      <c r="B3" t="s">
        <v>10</v>
      </c>
      <c r="C3" s="3" t="s">
        <v>38</v>
      </c>
      <c r="D3" s="125" t="s">
        <v>8</v>
      </c>
      <c r="E3" t="s">
        <v>10</v>
      </c>
      <c r="F3" s="3" t="s">
        <v>38</v>
      </c>
    </row>
    <row r="4" spans="1:6" ht="20.399999999999999" x14ac:dyDescent="0.45">
      <c r="A4" s="125" t="s">
        <v>9</v>
      </c>
      <c r="B4" s="3" t="s">
        <v>11</v>
      </c>
      <c r="C4" t="s">
        <v>39</v>
      </c>
      <c r="D4" s="125" t="s">
        <v>9</v>
      </c>
      <c r="E4" s="3" t="s">
        <v>11</v>
      </c>
      <c r="F4" t="s">
        <v>39</v>
      </c>
    </row>
    <row r="5" spans="1:6" ht="20.399999999999999" x14ac:dyDescent="0.45">
      <c r="A5" s="125" t="s">
        <v>12</v>
      </c>
      <c r="B5" s="3" t="s">
        <v>34</v>
      </c>
      <c r="D5" s="125" t="s">
        <v>12</v>
      </c>
      <c r="E5" s="3" t="s">
        <v>34</v>
      </c>
    </row>
    <row r="7" spans="1:6" ht="20.399999999999999" x14ac:dyDescent="0.45">
      <c r="A7" s="125" t="s">
        <v>15</v>
      </c>
      <c r="B7" t="s">
        <v>160</v>
      </c>
      <c r="C7" t="s">
        <v>158</v>
      </c>
      <c r="D7" s="125" t="s">
        <v>15</v>
      </c>
      <c r="E7" t="s">
        <v>157</v>
      </c>
      <c r="F7" t="s">
        <v>158</v>
      </c>
    </row>
    <row r="8" spans="1:6" ht="20.399999999999999" x14ac:dyDescent="0.45">
      <c r="A8" s="125" t="s">
        <v>14</v>
      </c>
      <c r="B8" t="s">
        <v>159</v>
      </c>
      <c r="C8" t="s">
        <v>158</v>
      </c>
      <c r="D8" s="125" t="s">
        <v>14</v>
      </c>
      <c r="E8" t="s">
        <v>159</v>
      </c>
      <c r="F8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79F7-EB90-4EA4-AC0F-75C2F0CD0D60}">
  <dimension ref="A1:C17"/>
  <sheetViews>
    <sheetView zoomScale="145" zoomScaleNormal="145" workbookViewId="0">
      <selection activeCell="C16" sqref="C16"/>
    </sheetView>
  </sheetViews>
  <sheetFormatPr defaultRowHeight="14.4" x14ac:dyDescent="0.3"/>
  <cols>
    <col min="1" max="1" width="5.5546875" customWidth="1"/>
    <col min="2" max="2" width="11.88671875" customWidth="1"/>
    <col min="3" max="3" width="58.21875" customWidth="1"/>
  </cols>
  <sheetData>
    <row r="1" spans="1:3" s="12" customFormat="1" x14ac:dyDescent="0.3">
      <c r="A1" s="12" t="s">
        <v>203</v>
      </c>
      <c r="B1" s="12" t="s">
        <v>201</v>
      </c>
      <c r="C1" s="12" t="s">
        <v>202</v>
      </c>
    </row>
    <row r="2" spans="1:3" x14ac:dyDescent="0.3">
      <c r="A2">
        <v>1</v>
      </c>
      <c r="B2" t="s">
        <v>184</v>
      </c>
      <c r="C2" t="s">
        <v>189</v>
      </c>
    </row>
    <row r="3" spans="1:3" x14ac:dyDescent="0.3">
      <c r="A3">
        <v>2</v>
      </c>
      <c r="B3" t="s">
        <v>184</v>
      </c>
      <c r="C3" t="s">
        <v>189</v>
      </c>
    </row>
    <row r="4" spans="1:3" x14ac:dyDescent="0.3">
      <c r="A4">
        <v>3</v>
      </c>
      <c r="B4" t="s">
        <v>194</v>
      </c>
      <c r="C4" s="127" t="s">
        <v>199</v>
      </c>
    </row>
    <row r="5" spans="1:3" x14ac:dyDescent="0.3">
      <c r="A5">
        <v>4</v>
      </c>
      <c r="B5" t="s">
        <v>194</v>
      </c>
      <c r="C5" s="127" t="s">
        <v>199</v>
      </c>
    </row>
    <row r="6" spans="1:3" x14ac:dyDescent="0.3">
      <c r="A6">
        <v>5</v>
      </c>
      <c r="B6" t="s">
        <v>192</v>
      </c>
      <c r="C6" s="127" t="s">
        <v>197</v>
      </c>
    </row>
    <row r="7" spans="1:3" x14ac:dyDescent="0.3">
      <c r="A7">
        <v>6</v>
      </c>
      <c r="B7" t="s">
        <v>192</v>
      </c>
      <c r="C7" s="127" t="s">
        <v>197</v>
      </c>
    </row>
    <row r="8" spans="1:3" x14ac:dyDescent="0.3">
      <c r="A8">
        <v>7</v>
      </c>
      <c r="B8" t="s">
        <v>194</v>
      </c>
      <c r="C8" s="127" t="s">
        <v>199</v>
      </c>
    </row>
    <row r="9" spans="1:3" x14ac:dyDescent="0.3">
      <c r="A9">
        <v>8</v>
      </c>
      <c r="B9" t="s">
        <v>196</v>
      </c>
      <c r="C9" t="s">
        <v>200</v>
      </c>
    </row>
    <row r="10" spans="1:3" x14ac:dyDescent="0.3">
      <c r="A10">
        <v>9</v>
      </c>
      <c r="B10" t="s">
        <v>193</v>
      </c>
      <c r="C10" t="s">
        <v>198</v>
      </c>
    </row>
    <row r="11" spans="1:3" x14ac:dyDescent="0.3">
      <c r="A11">
        <v>10</v>
      </c>
      <c r="B11" t="s">
        <v>191</v>
      </c>
      <c r="C11" t="s">
        <v>188</v>
      </c>
    </row>
    <row r="12" spans="1:3" x14ac:dyDescent="0.3">
      <c r="A12">
        <v>11</v>
      </c>
      <c r="B12" t="s">
        <v>193</v>
      </c>
      <c r="C12" t="s">
        <v>198</v>
      </c>
    </row>
    <row r="13" spans="1:3" x14ac:dyDescent="0.3">
      <c r="A13">
        <v>12</v>
      </c>
      <c r="B13" t="s">
        <v>193</v>
      </c>
      <c r="C13" t="s">
        <v>198</v>
      </c>
    </row>
    <row r="14" spans="1:3" x14ac:dyDescent="0.3">
      <c r="A14">
        <v>13</v>
      </c>
      <c r="B14" t="s">
        <v>190</v>
      </c>
      <c r="C14" t="s">
        <v>187</v>
      </c>
    </row>
    <row r="15" spans="1:3" x14ac:dyDescent="0.3">
      <c r="A15">
        <v>14</v>
      </c>
      <c r="B15" t="s">
        <v>185</v>
      </c>
      <c r="C15" t="s">
        <v>204</v>
      </c>
    </row>
    <row r="16" spans="1:3" x14ac:dyDescent="0.3">
      <c r="A16">
        <v>15</v>
      </c>
      <c r="B16" t="s">
        <v>195</v>
      </c>
      <c r="C16" s="127" t="s">
        <v>186</v>
      </c>
    </row>
    <row r="17" spans="1:3" x14ac:dyDescent="0.3">
      <c r="A17">
        <v>16</v>
      </c>
      <c r="B17" t="s">
        <v>196</v>
      </c>
      <c r="C17" t="s">
        <v>200</v>
      </c>
    </row>
  </sheetData>
  <sortState xmlns:xlrd2="http://schemas.microsoft.com/office/spreadsheetml/2017/richdata2" ref="A2:D21">
    <sortCondition ref="A2:A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9EF0-2266-451B-8272-FCB1947A1452}">
  <dimension ref="A3:H26"/>
  <sheetViews>
    <sheetView workbookViewId="0">
      <selection activeCell="M22" sqref="M22"/>
    </sheetView>
  </sheetViews>
  <sheetFormatPr defaultRowHeight="14.4" x14ac:dyDescent="0.3"/>
  <cols>
    <col min="1" max="1" width="19.21875" customWidth="1"/>
    <col min="3" max="3" width="6.21875" customWidth="1"/>
    <col min="4" max="4" width="7.44140625" customWidth="1"/>
    <col min="7" max="7" width="4.5546875" customWidth="1"/>
  </cols>
  <sheetData>
    <row r="3" spans="1:8" ht="15" thickBot="1" x14ac:dyDescent="0.35"/>
    <row r="4" spans="1:8" ht="18.600000000000001" customHeight="1" thickTop="1" x14ac:dyDescent="0.3">
      <c r="A4" s="220" t="s">
        <v>226</v>
      </c>
      <c r="B4" s="211"/>
      <c r="C4" s="199" t="s">
        <v>264</v>
      </c>
      <c r="D4" s="207"/>
      <c r="E4" s="207"/>
      <c r="F4" s="208"/>
      <c r="G4" s="213"/>
      <c r="H4" s="200"/>
    </row>
    <row r="5" spans="1:8" ht="15" customHeight="1" thickBot="1" x14ac:dyDescent="0.35">
      <c r="A5" s="220"/>
      <c r="B5" s="212"/>
      <c r="C5" s="209"/>
      <c r="D5" s="210"/>
      <c r="E5" s="210"/>
      <c r="F5" s="197"/>
      <c r="G5" s="214"/>
      <c r="H5" s="215"/>
    </row>
    <row r="6" spans="1:8" ht="19.2" thickTop="1" thickBot="1" x14ac:dyDescent="0.35">
      <c r="A6" s="187"/>
    </row>
    <row r="7" spans="1:8" ht="18.600000000000001" customHeight="1" thickTop="1" x14ac:dyDescent="0.3">
      <c r="A7" s="220" t="s">
        <v>223</v>
      </c>
      <c r="B7" s="181"/>
      <c r="C7" s="216" t="s">
        <v>267</v>
      </c>
      <c r="D7" s="185"/>
      <c r="H7" s="186"/>
    </row>
    <row r="8" spans="1:8" ht="19.2" customHeight="1" thickBot="1" x14ac:dyDescent="0.35">
      <c r="A8" s="220"/>
      <c r="C8" s="208"/>
      <c r="D8" s="183"/>
      <c r="E8" s="184"/>
      <c r="F8" s="184"/>
      <c r="G8" s="184"/>
      <c r="H8" s="185"/>
    </row>
    <row r="9" spans="1:8" ht="19.2" customHeight="1" thickTop="1" x14ac:dyDescent="0.3">
      <c r="A9" s="187"/>
    </row>
    <row r="10" spans="1:8" ht="18.600000000000001" thickBot="1" x14ac:dyDescent="0.35">
      <c r="A10" s="187"/>
    </row>
    <row r="11" spans="1:8" ht="19.2" customHeight="1" thickTop="1" thickBot="1" x14ac:dyDescent="0.35">
      <c r="A11" s="220" t="s">
        <v>262</v>
      </c>
      <c r="B11" s="184"/>
      <c r="C11" s="184"/>
      <c r="D11" s="203"/>
      <c r="E11" s="204"/>
      <c r="F11" s="183"/>
      <c r="G11" s="184"/>
      <c r="H11" s="184"/>
    </row>
    <row r="12" spans="1:8" ht="15.6" thickTop="1" thickBot="1" x14ac:dyDescent="0.35">
      <c r="A12" s="220"/>
      <c r="D12" s="205"/>
      <c r="E12" s="206"/>
      <c r="F12" s="186"/>
    </row>
    <row r="13" spans="1:8" ht="18.600000000000001" thickTop="1" x14ac:dyDescent="0.3">
      <c r="A13" s="187"/>
      <c r="D13" s="200" t="s">
        <v>263</v>
      </c>
      <c r="E13" s="200"/>
    </row>
    <row r="14" spans="1:8" ht="18" x14ac:dyDescent="0.3">
      <c r="A14" s="187"/>
    </row>
    <row r="15" spans="1:8" ht="18" x14ac:dyDescent="0.3">
      <c r="A15" s="187"/>
    </row>
    <row r="16" spans="1:8" ht="18.600000000000001" thickBot="1" x14ac:dyDescent="0.35">
      <c r="A16" s="187"/>
    </row>
    <row r="17" spans="1:8" ht="15" customHeight="1" thickTop="1" x14ac:dyDescent="0.3">
      <c r="A17" s="220" t="s">
        <v>222</v>
      </c>
      <c r="B17" s="180"/>
      <c r="C17" s="217" t="s">
        <v>266</v>
      </c>
      <c r="D17" s="196"/>
      <c r="E17" s="181"/>
      <c r="F17" s="181"/>
      <c r="G17" s="181"/>
      <c r="H17" s="181"/>
    </row>
    <row r="18" spans="1:8" ht="15" customHeight="1" thickBot="1" x14ac:dyDescent="0.35">
      <c r="A18" s="220"/>
      <c r="B18" s="182"/>
      <c r="C18" s="218"/>
      <c r="D18" s="219"/>
    </row>
    <row r="19" spans="1:8" ht="19.2" thickTop="1" thickBot="1" x14ac:dyDescent="0.35">
      <c r="A19" s="187"/>
    </row>
    <row r="20" spans="1:8" ht="15" customHeight="1" thickTop="1" x14ac:dyDescent="0.3">
      <c r="A20" s="220" t="s">
        <v>221</v>
      </c>
      <c r="C20" s="196" t="s">
        <v>268</v>
      </c>
      <c r="D20" s="198"/>
      <c r="E20" s="181"/>
      <c r="F20" s="181"/>
      <c r="G20" s="189"/>
      <c r="H20" s="181"/>
    </row>
    <row r="21" spans="1:8" ht="15" customHeight="1" thickBot="1" x14ac:dyDescent="0.35">
      <c r="A21" s="220"/>
      <c r="B21" s="184"/>
      <c r="C21" s="197"/>
      <c r="D21" s="199"/>
      <c r="G21" s="188"/>
    </row>
    <row r="22" spans="1:8" ht="18.600000000000001" thickTop="1" x14ac:dyDescent="0.3">
      <c r="A22" s="187"/>
    </row>
    <row r="23" spans="1:8" ht="18.600000000000001" thickBot="1" x14ac:dyDescent="0.35">
      <c r="A23" s="187"/>
    </row>
    <row r="24" spans="1:8" ht="15.6" thickTop="1" thickBot="1" x14ac:dyDescent="0.35">
      <c r="A24" s="220" t="s">
        <v>265</v>
      </c>
      <c r="B24" s="184"/>
      <c r="C24" s="184"/>
      <c r="D24" s="184"/>
      <c r="E24" s="184"/>
      <c r="F24" s="184"/>
      <c r="G24" s="201"/>
      <c r="H24" s="184"/>
    </row>
    <row r="25" spans="1:8" ht="15.6" thickTop="1" thickBot="1" x14ac:dyDescent="0.35">
      <c r="A25" s="220"/>
      <c r="D25" s="181"/>
      <c r="E25" s="181"/>
      <c r="F25" s="181"/>
      <c r="G25" s="202"/>
    </row>
    <row r="26" spans="1:8" ht="18.600000000000001" thickTop="1" x14ac:dyDescent="0.35">
      <c r="A26" s="7"/>
    </row>
  </sheetData>
  <mergeCells count="16">
    <mergeCell ref="A24:A25"/>
    <mergeCell ref="A4:A5"/>
    <mergeCell ref="A7:A8"/>
    <mergeCell ref="A11:A12"/>
    <mergeCell ref="A17:A18"/>
    <mergeCell ref="A20:A21"/>
    <mergeCell ref="C4:F5"/>
    <mergeCell ref="B4:B5"/>
    <mergeCell ref="G4:H5"/>
    <mergeCell ref="C7:C8"/>
    <mergeCell ref="C17:D18"/>
    <mergeCell ref="C20:C21"/>
    <mergeCell ref="D20:D21"/>
    <mergeCell ref="D13:E13"/>
    <mergeCell ref="G24:G25"/>
    <mergeCell ref="D11:E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opLeftCell="A4" zoomScaleNormal="100" workbookViewId="0">
      <selection activeCell="I23" sqref="I23"/>
    </sheetView>
  </sheetViews>
  <sheetFormatPr defaultRowHeight="14.4" x14ac:dyDescent="0.3"/>
  <cols>
    <col min="2" max="2" width="10.33203125" customWidth="1"/>
    <col min="3" max="4" width="4.6640625" customWidth="1"/>
    <col min="5" max="10" width="9.109375" customWidth="1"/>
  </cols>
  <sheetData>
    <row r="1" spans="1:10" ht="18" x14ac:dyDescent="0.35">
      <c r="A1" s="7" t="s">
        <v>40</v>
      </c>
    </row>
    <row r="2" spans="1:10" ht="18" x14ac:dyDescent="0.35">
      <c r="F2" s="7" t="s">
        <v>41</v>
      </c>
    </row>
    <row r="4" spans="1:10" x14ac:dyDescent="0.3">
      <c r="A4" s="1" t="s">
        <v>42</v>
      </c>
      <c r="B4" s="1" t="s">
        <v>43</v>
      </c>
    </row>
    <row r="5" spans="1:10" x14ac:dyDescent="0.3">
      <c r="A5" s="1">
        <v>1</v>
      </c>
      <c r="B5" s="1">
        <v>1</v>
      </c>
    </row>
    <row r="6" spans="1:10" x14ac:dyDescent="0.3">
      <c r="A6" s="1">
        <v>2</v>
      </c>
      <c r="B6" s="1">
        <v>3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>
        <v>3</v>
      </c>
      <c r="B7" s="1">
        <v>5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>
        <v>4</v>
      </c>
      <c r="B8" s="1">
        <v>7</v>
      </c>
    </row>
    <row r="9" spans="1:10" x14ac:dyDescent="0.3">
      <c r="A9" s="1">
        <v>5</v>
      </c>
      <c r="B9" s="1">
        <v>9</v>
      </c>
    </row>
    <row r="10" spans="1:10" x14ac:dyDescent="0.3">
      <c r="A10" s="1">
        <v>6</v>
      </c>
      <c r="B10" s="1">
        <v>2</v>
      </c>
    </row>
    <row r="11" spans="1:10" x14ac:dyDescent="0.3">
      <c r="A11" s="1">
        <v>7</v>
      </c>
      <c r="B11" s="1">
        <v>4</v>
      </c>
    </row>
    <row r="12" spans="1:10" x14ac:dyDescent="0.3">
      <c r="A12" s="1">
        <v>8</v>
      </c>
      <c r="B12" s="1">
        <v>6</v>
      </c>
    </row>
    <row r="13" spans="1:10" x14ac:dyDescent="0.3">
      <c r="A13" s="1">
        <v>9</v>
      </c>
      <c r="B13" s="1">
        <v>8</v>
      </c>
    </row>
    <row r="14" spans="1:10" x14ac:dyDescent="0.3">
      <c r="A14" s="1"/>
      <c r="B14" s="1">
        <v>10</v>
      </c>
    </row>
    <row r="18" spans="1:11" x14ac:dyDescent="0.3">
      <c r="A18" t="s">
        <v>161</v>
      </c>
      <c r="B18" s="8" t="s">
        <v>164</v>
      </c>
      <c r="C18" s="1">
        <v>1</v>
      </c>
      <c r="D18" s="1">
        <v>2</v>
      </c>
      <c r="E18" s="8" t="s">
        <v>163</v>
      </c>
      <c r="F18" t="s">
        <v>161</v>
      </c>
    </row>
    <row r="19" spans="1:11" x14ac:dyDescent="0.3">
      <c r="B19" s="8" t="s">
        <v>48</v>
      </c>
      <c r="C19" s="1">
        <v>3</v>
      </c>
      <c r="D19" s="1">
        <v>4</v>
      </c>
      <c r="E19" s="8" t="s">
        <v>49</v>
      </c>
    </row>
    <row r="20" spans="1:11" x14ac:dyDescent="0.3">
      <c r="B20" s="8" t="s">
        <v>45</v>
      </c>
      <c r="C20" s="1">
        <v>5</v>
      </c>
      <c r="D20" s="1">
        <v>6</v>
      </c>
      <c r="E20" s="8" t="s">
        <v>50</v>
      </c>
    </row>
    <row r="21" spans="1:11" x14ac:dyDescent="0.3">
      <c r="A21" t="s">
        <v>162</v>
      </c>
      <c r="B21" s="8" t="s">
        <v>46</v>
      </c>
      <c r="C21" s="1">
        <v>7</v>
      </c>
      <c r="D21" s="1">
        <v>8</v>
      </c>
      <c r="E21" s="8" t="s">
        <v>51</v>
      </c>
      <c r="F21" t="s">
        <v>161</v>
      </c>
      <c r="I21" t="s">
        <v>42</v>
      </c>
      <c r="J21" t="s">
        <v>183</v>
      </c>
    </row>
    <row r="22" spans="1:11" x14ac:dyDescent="0.3">
      <c r="B22" s="8" t="s">
        <v>47</v>
      </c>
      <c r="C22" s="1">
        <v>9</v>
      </c>
      <c r="D22" s="1">
        <v>10</v>
      </c>
      <c r="E22" s="8" t="s">
        <v>44</v>
      </c>
      <c r="I22" s="12" t="s">
        <v>166</v>
      </c>
      <c r="J22" s="12" t="s">
        <v>165</v>
      </c>
    </row>
    <row r="23" spans="1:11" x14ac:dyDescent="0.3">
      <c r="G23">
        <v>1</v>
      </c>
      <c r="H23" t="s">
        <v>167</v>
      </c>
      <c r="I23" t="s">
        <v>162</v>
      </c>
      <c r="J23" t="s">
        <v>161</v>
      </c>
      <c r="K23" t="s">
        <v>175</v>
      </c>
    </row>
    <row r="24" spans="1:11" x14ac:dyDescent="0.3">
      <c r="G24">
        <v>2</v>
      </c>
      <c r="H24" t="s">
        <v>168</v>
      </c>
      <c r="I24" t="s">
        <v>162</v>
      </c>
      <c r="J24" t="s">
        <v>161</v>
      </c>
      <c r="K24" t="s">
        <v>176</v>
      </c>
    </row>
    <row r="25" spans="1:11" x14ac:dyDescent="0.3">
      <c r="G25">
        <v>3</v>
      </c>
      <c r="H25" t="s">
        <v>169</v>
      </c>
      <c r="I25" t="s">
        <v>161</v>
      </c>
      <c r="J25" t="s">
        <v>162</v>
      </c>
      <c r="K25" t="s">
        <v>177</v>
      </c>
    </row>
    <row r="26" spans="1:11" x14ac:dyDescent="0.3">
      <c r="G26">
        <v>4</v>
      </c>
      <c r="H26" t="s">
        <v>170</v>
      </c>
      <c r="I26" t="s">
        <v>161</v>
      </c>
      <c r="J26" t="s">
        <v>162</v>
      </c>
      <c r="K26" t="s">
        <v>178</v>
      </c>
    </row>
    <row r="27" spans="1:11" x14ac:dyDescent="0.3">
      <c r="G27">
        <v>5</v>
      </c>
      <c r="H27" t="s">
        <v>52</v>
      </c>
    </row>
    <row r="28" spans="1:11" x14ac:dyDescent="0.3">
      <c r="G28">
        <v>6</v>
      </c>
      <c r="H28" t="s">
        <v>171</v>
      </c>
      <c r="I28" t="s">
        <v>162</v>
      </c>
      <c r="J28" t="s">
        <v>161</v>
      </c>
      <c r="K28" t="s">
        <v>179</v>
      </c>
    </row>
    <row r="29" spans="1:11" x14ac:dyDescent="0.3">
      <c r="G29">
        <v>7</v>
      </c>
      <c r="H29" t="s">
        <v>172</v>
      </c>
      <c r="I29" t="s">
        <v>161</v>
      </c>
      <c r="J29" t="s">
        <v>162</v>
      </c>
      <c r="K29" t="s">
        <v>180</v>
      </c>
    </row>
    <row r="30" spans="1:11" x14ac:dyDescent="0.3">
      <c r="G30">
        <v>8</v>
      </c>
      <c r="H30" t="s">
        <v>173</v>
      </c>
      <c r="I30" t="s">
        <v>162</v>
      </c>
      <c r="J30" t="s">
        <v>161</v>
      </c>
      <c r="K30" t="s">
        <v>181</v>
      </c>
    </row>
    <row r="31" spans="1:11" x14ac:dyDescent="0.3">
      <c r="G31">
        <v>9</v>
      </c>
      <c r="H31" t="s">
        <v>174</v>
      </c>
      <c r="I31" t="s">
        <v>162</v>
      </c>
      <c r="J31" t="s">
        <v>161</v>
      </c>
      <c r="K31" t="s">
        <v>182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93"/>
  <sheetViews>
    <sheetView workbookViewId="0">
      <pane xSplit="2" ySplit="4" topLeftCell="C80" activePane="bottomRight" state="frozen"/>
      <selection pane="topRight" activeCell="B1" sqref="B1"/>
      <selection pane="bottomLeft" activeCell="A5" sqref="A5"/>
      <selection pane="bottomRight" activeCell="G71" sqref="G71"/>
    </sheetView>
  </sheetViews>
  <sheetFormatPr defaultRowHeight="14.4" x14ac:dyDescent="0.3"/>
  <cols>
    <col min="1" max="1" width="3.88671875" customWidth="1"/>
    <col min="2" max="3" width="13" style="1" customWidth="1"/>
    <col min="4" max="4" width="14.44140625" customWidth="1"/>
    <col min="5" max="5" width="10.33203125" style="1" customWidth="1"/>
    <col min="6" max="6" width="14.6640625" customWidth="1"/>
    <col min="7" max="9" width="9.109375" style="1"/>
    <col min="10" max="10" width="14.88671875" customWidth="1"/>
    <col min="11" max="11" width="14.44140625" customWidth="1"/>
    <col min="12" max="12" width="3.33203125" customWidth="1"/>
    <col min="13" max="20" width="2.88671875" customWidth="1"/>
    <col min="21" max="21" width="7.5546875" style="1" customWidth="1"/>
    <col min="22" max="22" width="4.5546875" customWidth="1"/>
    <col min="23" max="23" width="2.88671875" customWidth="1"/>
    <col min="24" max="24" width="1.109375" customWidth="1"/>
    <col min="25" max="25" width="2.88671875" customWidth="1"/>
    <col min="26" max="26" width="4.33203125" customWidth="1"/>
    <col min="27" max="28" width="15.5546875" style="8" customWidth="1"/>
    <col min="30" max="30" width="12.5546875" style="8" customWidth="1"/>
    <col min="31" max="31" width="3.44140625" customWidth="1"/>
    <col min="32" max="32" width="2.44140625" customWidth="1"/>
    <col min="33" max="33" width="3" customWidth="1"/>
    <col min="34" max="34" width="10.6640625" customWidth="1"/>
  </cols>
  <sheetData>
    <row r="1" spans="1:35" x14ac:dyDescent="0.3">
      <c r="A1" s="12" t="s">
        <v>81</v>
      </c>
    </row>
    <row r="2" spans="1:35" x14ac:dyDescent="0.3">
      <c r="A2" t="s">
        <v>82</v>
      </c>
    </row>
    <row r="3" spans="1:35" ht="15" thickBot="1" x14ac:dyDescent="0.35">
      <c r="B3"/>
      <c r="C3"/>
    </row>
    <row r="4" spans="1:35" ht="15" thickBot="1" x14ac:dyDescent="0.35">
      <c r="B4" s="16" t="s">
        <v>228</v>
      </c>
      <c r="C4" s="145" t="s">
        <v>227</v>
      </c>
      <c r="D4" s="10" t="s">
        <v>92</v>
      </c>
      <c r="E4" s="10" t="s">
        <v>102</v>
      </c>
      <c r="F4" s="17" t="s">
        <v>56</v>
      </c>
      <c r="G4" s="10" t="s">
        <v>1</v>
      </c>
      <c r="H4" s="10" t="s">
        <v>77</v>
      </c>
      <c r="I4" s="10" t="s">
        <v>79</v>
      </c>
      <c r="J4" s="11" t="s">
        <v>56</v>
      </c>
      <c r="K4" s="13" t="s">
        <v>93</v>
      </c>
      <c r="M4" s="221" t="s">
        <v>128</v>
      </c>
      <c r="N4" s="221"/>
      <c r="O4" s="221"/>
      <c r="P4" s="221"/>
      <c r="Q4" s="221"/>
      <c r="R4" s="221"/>
      <c r="S4" s="221"/>
      <c r="T4" s="221"/>
      <c r="U4" s="106" t="s">
        <v>109</v>
      </c>
      <c r="V4" s="221" t="s">
        <v>127</v>
      </c>
      <c r="W4" s="221"/>
      <c r="X4" s="221"/>
      <c r="Y4" s="221"/>
      <c r="Z4" s="221"/>
      <c r="AD4" s="221" t="s">
        <v>143</v>
      </c>
      <c r="AE4" s="221"/>
      <c r="AF4" s="221"/>
      <c r="AG4" s="221"/>
      <c r="AH4" s="221"/>
    </row>
    <row r="5" spans="1:35" x14ac:dyDescent="0.3">
      <c r="B5" s="25">
        <v>1</v>
      </c>
      <c r="C5" s="148">
        <v>3</v>
      </c>
      <c r="D5" s="26" t="s">
        <v>129</v>
      </c>
      <c r="E5" s="27">
        <v>27</v>
      </c>
      <c r="F5" s="28" t="s">
        <v>61</v>
      </c>
      <c r="G5" s="27" t="s">
        <v>55</v>
      </c>
      <c r="H5" s="27">
        <v>1</v>
      </c>
      <c r="I5" s="27">
        <v>1</v>
      </c>
      <c r="J5" s="29" t="s">
        <v>61</v>
      </c>
      <c r="K5" s="15" t="s">
        <v>85</v>
      </c>
      <c r="V5" s="1"/>
      <c r="W5" s="19"/>
      <c r="Y5" s="1"/>
      <c r="Z5" s="1"/>
    </row>
    <row r="6" spans="1:35" ht="15" thickBot="1" x14ac:dyDescent="0.35">
      <c r="B6" s="25">
        <v>2</v>
      </c>
      <c r="C6" s="148">
        <v>4</v>
      </c>
      <c r="D6" s="26" t="s">
        <v>130</v>
      </c>
      <c r="E6" s="27">
        <v>24</v>
      </c>
      <c r="F6" s="28" t="s">
        <v>62</v>
      </c>
      <c r="G6" s="27" t="s">
        <v>55</v>
      </c>
      <c r="H6" s="27">
        <v>14</v>
      </c>
      <c r="I6" s="27">
        <v>2</v>
      </c>
      <c r="J6" s="29" t="s">
        <v>62</v>
      </c>
      <c r="K6" s="15" t="s">
        <v>103</v>
      </c>
      <c r="U6" s="1">
        <v>1</v>
      </c>
      <c r="V6" s="50">
        <v>1</v>
      </c>
      <c r="W6" s="44">
        <v>1</v>
      </c>
      <c r="X6" s="45"/>
      <c r="Y6" s="46"/>
      <c r="Z6" s="47"/>
      <c r="AA6" s="8" t="s">
        <v>110</v>
      </c>
    </row>
    <row r="7" spans="1:35" x14ac:dyDescent="0.3">
      <c r="B7" s="20">
        <v>3</v>
      </c>
      <c r="C7" s="147">
        <v>5</v>
      </c>
      <c r="D7" s="21" t="s">
        <v>131</v>
      </c>
      <c r="E7" s="22">
        <v>15</v>
      </c>
      <c r="F7" s="23" t="s">
        <v>63</v>
      </c>
      <c r="G7" s="22" t="s">
        <v>55</v>
      </c>
      <c r="H7" s="22">
        <v>2</v>
      </c>
      <c r="I7" s="22">
        <v>3</v>
      </c>
      <c r="J7" s="24" t="s">
        <v>63</v>
      </c>
      <c r="K7" s="14" t="s">
        <v>99</v>
      </c>
      <c r="U7" s="1">
        <v>2</v>
      </c>
      <c r="V7" s="50"/>
      <c r="W7" s="51"/>
      <c r="X7" s="48"/>
      <c r="Y7" s="49">
        <v>14</v>
      </c>
      <c r="Z7" s="47">
        <v>2</v>
      </c>
      <c r="AA7" s="8" t="s">
        <v>111</v>
      </c>
    </row>
    <row r="8" spans="1:35" x14ac:dyDescent="0.3">
      <c r="B8" s="25">
        <v>4</v>
      </c>
      <c r="C8" s="148">
        <v>6</v>
      </c>
      <c r="D8" s="26" t="s">
        <v>132</v>
      </c>
      <c r="E8" s="27">
        <v>12</v>
      </c>
      <c r="F8" s="28" t="s">
        <v>64</v>
      </c>
      <c r="G8" s="27" t="s">
        <v>55</v>
      </c>
      <c r="H8" s="27">
        <v>15</v>
      </c>
      <c r="I8" s="27">
        <v>4</v>
      </c>
      <c r="J8" s="29" t="s">
        <v>64</v>
      </c>
      <c r="K8" s="15" t="s">
        <v>100</v>
      </c>
      <c r="U8" s="1">
        <v>3</v>
      </c>
      <c r="V8" s="50">
        <v>3</v>
      </c>
      <c r="W8" s="44">
        <v>2</v>
      </c>
      <c r="X8" s="48"/>
      <c r="Y8" s="50"/>
      <c r="Z8" s="47"/>
      <c r="AA8" s="8" t="s">
        <v>112</v>
      </c>
    </row>
    <row r="9" spans="1:35" x14ac:dyDescent="0.3">
      <c r="B9" s="25">
        <v>5</v>
      </c>
      <c r="C9" s="148">
        <v>7</v>
      </c>
      <c r="D9" s="26" t="s">
        <v>133</v>
      </c>
      <c r="E9" s="27">
        <v>9</v>
      </c>
      <c r="F9" s="28" t="s">
        <v>65</v>
      </c>
      <c r="G9" s="27" t="s">
        <v>55</v>
      </c>
      <c r="H9" s="27">
        <v>3</v>
      </c>
      <c r="I9" s="27">
        <v>5</v>
      </c>
      <c r="J9" s="29" t="s">
        <v>65</v>
      </c>
      <c r="K9" s="15" t="s">
        <v>6</v>
      </c>
      <c r="U9" s="1">
        <v>4</v>
      </c>
      <c r="V9" s="50"/>
      <c r="W9" s="51"/>
      <c r="X9" s="48"/>
      <c r="Y9" s="49">
        <v>15</v>
      </c>
      <c r="Z9" s="47">
        <v>4</v>
      </c>
      <c r="AA9" s="8" t="s">
        <v>113</v>
      </c>
      <c r="AD9" s="215" t="s">
        <v>144</v>
      </c>
      <c r="AE9" s="215"/>
      <c r="AF9" s="215"/>
      <c r="AG9" s="215"/>
      <c r="AH9" s="215"/>
    </row>
    <row r="10" spans="1:35" x14ac:dyDescent="0.3">
      <c r="B10" s="25">
        <v>6</v>
      </c>
      <c r="C10" s="148">
        <v>8</v>
      </c>
      <c r="D10" s="26" t="s">
        <v>134</v>
      </c>
      <c r="E10" s="27">
        <v>30</v>
      </c>
      <c r="F10" s="28" t="s">
        <v>66</v>
      </c>
      <c r="G10" s="27" t="s">
        <v>55</v>
      </c>
      <c r="H10" s="27">
        <v>16</v>
      </c>
      <c r="I10" s="27">
        <v>6</v>
      </c>
      <c r="J10" s="29" t="s">
        <v>66</v>
      </c>
      <c r="K10" s="15" t="s">
        <v>88</v>
      </c>
      <c r="M10" s="78">
        <v>4</v>
      </c>
      <c r="N10" s="79"/>
      <c r="O10" s="78">
        <v>3</v>
      </c>
      <c r="P10" s="79"/>
      <c r="Q10" s="78">
        <v>2</v>
      </c>
      <c r="R10" s="79"/>
      <c r="S10" s="78">
        <v>1</v>
      </c>
      <c r="T10" s="79"/>
      <c r="U10" s="19">
        <v>5</v>
      </c>
      <c r="V10" s="108">
        <v>5</v>
      </c>
      <c r="W10" s="44">
        <v>3</v>
      </c>
      <c r="X10" s="48"/>
      <c r="Y10" s="50"/>
      <c r="Z10" s="47"/>
      <c r="AA10" s="8" t="s">
        <v>114</v>
      </c>
      <c r="AD10" s="116"/>
      <c r="AE10" s="117"/>
      <c r="AF10" s="117"/>
      <c r="AG10" s="117"/>
      <c r="AH10" s="118"/>
    </row>
    <row r="11" spans="1:35" x14ac:dyDescent="0.3">
      <c r="B11" s="25">
        <v>7</v>
      </c>
      <c r="C11" s="148">
        <v>9</v>
      </c>
      <c r="D11" s="26" t="s">
        <v>140</v>
      </c>
      <c r="E11" s="27">
        <v>6</v>
      </c>
      <c r="F11" s="28" t="s">
        <v>67</v>
      </c>
      <c r="G11" s="27" t="s">
        <v>55</v>
      </c>
      <c r="H11" s="27">
        <v>4</v>
      </c>
      <c r="I11" s="27">
        <v>7</v>
      </c>
      <c r="J11" s="29" t="s">
        <v>67</v>
      </c>
      <c r="K11" s="15" t="s">
        <v>98</v>
      </c>
      <c r="M11" s="80"/>
      <c r="N11" s="81"/>
      <c r="O11" s="80"/>
      <c r="P11" s="81"/>
      <c r="Q11" s="80"/>
      <c r="R11" s="81"/>
      <c r="S11" s="80"/>
      <c r="T11" s="81"/>
      <c r="U11" s="19">
        <v>6</v>
      </c>
      <c r="V11" s="108"/>
      <c r="W11" s="51"/>
      <c r="X11" s="48"/>
      <c r="Y11" s="49">
        <v>16</v>
      </c>
      <c r="Z11" s="47">
        <v>6</v>
      </c>
      <c r="AA11" s="8" t="s">
        <v>115</v>
      </c>
      <c r="AC11">
        <v>20</v>
      </c>
      <c r="AD11" s="119" t="s">
        <v>142</v>
      </c>
      <c r="AE11" s="113">
        <v>16</v>
      </c>
      <c r="AG11" s="113">
        <v>1</v>
      </c>
      <c r="AH11" s="120" t="s">
        <v>138</v>
      </c>
      <c r="AI11">
        <v>18</v>
      </c>
    </row>
    <row r="12" spans="1:35" x14ac:dyDescent="0.3">
      <c r="B12" s="25">
        <v>8</v>
      </c>
      <c r="C12" s="148">
        <v>10</v>
      </c>
      <c r="D12" s="26" t="s">
        <v>141</v>
      </c>
      <c r="E12" s="27">
        <v>3</v>
      </c>
      <c r="F12" s="28" t="s">
        <v>68</v>
      </c>
      <c r="G12" s="27" t="s">
        <v>55</v>
      </c>
      <c r="H12" s="27">
        <v>17</v>
      </c>
      <c r="I12" s="27">
        <v>8</v>
      </c>
      <c r="J12" s="29" t="s">
        <v>68</v>
      </c>
      <c r="K12" s="15" t="s">
        <v>89</v>
      </c>
      <c r="M12" s="78">
        <v>8</v>
      </c>
      <c r="N12" s="79"/>
      <c r="O12" s="78">
        <v>7</v>
      </c>
      <c r="P12" s="79"/>
      <c r="Q12" s="78">
        <v>6</v>
      </c>
      <c r="R12" s="79"/>
      <c r="S12" s="78">
        <v>5</v>
      </c>
      <c r="T12" s="79"/>
      <c r="U12" s="19">
        <v>7</v>
      </c>
      <c r="V12" s="108">
        <v>7</v>
      </c>
      <c r="W12" s="44">
        <v>4</v>
      </c>
      <c r="X12" s="48"/>
      <c r="Y12" s="50"/>
      <c r="Z12" s="47"/>
      <c r="AA12" s="8" t="s">
        <v>116</v>
      </c>
      <c r="AD12" s="119"/>
      <c r="AE12" s="114">
        <v>17</v>
      </c>
      <c r="AF12" s="121"/>
      <c r="AG12" s="114">
        <v>2</v>
      </c>
      <c r="AH12" s="178" t="s">
        <v>248</v>
      </c>
    </row>
    <row r="13" spans="1:35" x14ac:dyDescent="0.3">
      <c r="B13" s="30">
        <v>9</v>
      </c>
      <c r="C13" s="151">
        <v>21</v>
      </c>
      <c r="D13" s="111" t="s">
        <v>53</v>
      </c>
      <c r="E13" s="31" t="s">
        <v>44</v>
      </c>
      <c r="F13" s="32" t="s">
        <v>57</v>
      </c>
      <c r="G13" s="31" t="s">
        <v>54</v>
      </c>
      <c r="H13" s="31">
        <v>10</v>
      </c>
      <c r="I13" s="31">
        <v>19</v>
      </c>
      <c r="J13" s="33" t="s">
        <v>57</v>
      </c>
      <c r="K13" s="15" t="s">
        <v>94</v>
      </c>
      <c r="M13" s="80"/>
      <c r="N13" s="81"/>
      <c r="O13" s="80"/>
      <c r="P13" s="81"/>
      <c r="Q13" s="80"/>
      <c r="R13" s="81"/>
      <c r="S13" s="80"/>
      <c r="T13" s="81"/>
      <c r="U13" s="19">
        <v>8</v>
      </c>
      <c r="V13" s="108"/>
      <c r="W13" s="51"/>
      <c r="X13" s="48"/>
      <c r="Y13" s="49">
        <v>17</v>
      </c>
      <c r="Z13" s="47">
        <v>8</v>
      </c>
      <c r="AA13" s="8" t="s">
        <v>117</v>
      </c>
      <c r="AD13" s="119"/>
      <c r="AE13" s="115">
        <v>18</v>
      </c>
      <c r="AG13" s="115">
        <v>3</v>
      </c>
      <c r="AH13" s="120" t="s">
        <v>141</v>
      </c>
      <c r="AI13">
        <v>8</v>
      </c>
    </row>
    <row r="14" spans="1:35" ht="15" thickBot="1" x14ac:dyDescent="0.35">
      <c r="B14" s="128">
        <v>10</v>
      </c>
      <c r="C14" s="152">
        <v>24</v>
      </c>
      <c r="D14" s="129" t="s">
        <v>134</v>
      </c>
      <c r="E14" s="132" t="s">
        <v>44</v>
      </c>
      <c r="F14" s="131" t="s">
        <v>58</v>
      </c>
      <c r="G14" s="132" t="s">
        <v>53</v>
      </c>
      <c r="H14" s="132">
        <v>23</v>
      </c>
      <c r="I14" s="132">
        <v>20</v>
      </c>
      <c r="J14" s="133" t="s">
        <v>58</v>
      </c>
      <c r="K14" s="130" t="s">
        <v>7</v>
      </c>
      <c r="M14" s="82">
        <v>12</v>
      </c>
      <c r="N14" s="83"/>
      <c r="O14" s="82">
        <v>11</v>
      </c>
      <c r="P14" s="83"/>
      <c r="Q14" s="84">
        <v>10</v>
      </c>
      <c r="R14" s="85"/>
      <c r="S14" s="86">
        <v>9</v>
      </c>
      <c r="T14" s="87"/>
      <c r="U14" s="19">
        <v>9</v>
      </c>
      <c r="V14" s="55" t="s">
        <v>107</v>
      </c>
      <c r="W14" s="53">
        <v>5</v>
      </c>
      <c r="X14" s="54"/>
      <c r="Y14" s="55"/>
      <c r="Z14" s="52"/>
      <c r="AA14" s="8" t="s">
        <v>52</v>
      </c>
      <c r="AD14" s="119"/>
      <c r="AE14" s="113">
        <v>19</v>
      </c>
      <c r="AG14" s="113">
        <v>4</v>
      </c>
      <c r="AH14" s="120" t="s">
        <v>139</v>
      </c>
      <c r="AI14">
        <v>17</v>
      </c>
    </row>
    <row r="15" spans="1:35" ht="15" thickBot="1" x14ac:dyDescent="0.35">
      <c r="B15" s="155">
        <v>11</v>
      </c>
      <c r="C15" s="158">
        <v>12</v>
      </c>
      <c r="D15" s="161" t="s">
        <v>135</v>
      </c>
      <c r="E15" s="164">
        <v>25</v>
      </c>
      <c r="F15" s="167" t="s">
        <v>69</v>
      </c>
      <c r="G15" s="164" t="s">
        <v>6</v>
      </c>
      <c r="H15" s="164">
        <v>18</v>
      </c>
      <c r="I15" s="164">
        <v>10</v>
      </c>
      <c r="J15" s="171" t="s">
        <v>69</v>
      </c>
      <c r="K15" s="144" t="s">
        <v>104</v>
      </c>
      <c r="M15" s="88"/>
      <c r="N15" s="89"/>
      <c r="O15" s="88"/>
      <c r="P15" s="89"/>
      <c r="Q15" s="90"/>
      <c r="R15" s="91"/>
      <c r="S15" s="92"/>
      <c r="T15" s="93"/>
      <c r="U15" s="19">
        <v>10</v>
      </c>
      <c r="V15" s="109"/>
      <c r="W15" s="56"/>
      <c r="X15" s="57"/>
      <c r="Y15" s="58">
        <v>18</v>
      </c>
      <c r="Z15" s="110">
        <v>11</v>
      </c>
      <c r="AA15" s="8" t="s">
        <v>118</v>
      </c>
      <c r="AD15" s="119"/>
      <c r="AE15" s="114">
        <v>20</v>
      </c>
      <c r="AF15" s="121"/>
      <c r="AG15" s="114">
        <v>5</v>
      </c>
      <c r="AH15" s="178" t="s">
        <v>247</v>
      </c>
    </row>
    <row r="16" spans="1:35" x14ac:dyDescent="0.3">
      <c r="B16" s="138">
        <v>12</v>
      </c>
      <c r="C16" s="149">
        <v>13</v>
      </c>
      <c r="D16" s="139" t="s">
        <v>84</v>
      </c>
      <c r="E16" s="141">
        <v>22</v>
      </c>
      <c r="F16" s="142" t="s">
        <v>70</v>
      </c>
      <c r="G16" s="141" t="s">
        <v>6</v>
      </c>
      <c r="H16" s="141">
        <v>6</v>
      </c>
      <c r="I16" s="141">
        <v>11</v>
      </c>
      <c r="J16" s="143" t="s">
        <v>70</v>
      </c>
      <c r="K16" s="140" t="s">
        <v>97</v>
      </c>
      <c r="M16" s="82">
        <v>16</v>
      </c>
      <c r="N16" s="83"/>
      <c r="O16" s="82">
        <v>15</v>
      </c>
      <c r="P16" s="83"/>
      <c r="Q16" s="82">
        <v>14</v>
      </c>
      <c r="R16" s="83"/>
      <c r="S16" s="82">
        <v>13</v>
      </c>
      <c r="T16" s="83"/>
      <c r="U16" s="19">
        <v>11</v>
      </c>
      <c r="V16" s="109">
        <v>12</v>
      </c>
      <c r="W16" s="58">
        <v>6</v>
      </c>
      <c r="X16" s="57"/>
      <c r="Y16" s="59"/>
      <c r="Z16" s="110"/>
      <c r="AA16" s="8" t="s">
        <v>119</v>
      </c>
      <c r="AD16" s="119"/>
      <c r="AE16" s="115">
        <v>21</v>
      </c>
      <c r="AG16" s="115">
        <v>6</v>
      </c>
      <c r="AH16" s="120" t="s">
        <v>140</v>
      </c>
      <c r="AI16">
        <v>7</v>
      </c>
    </row>
    <row r="17" spans="2:35" x14ac:dyDescent="0.3">
      <c r="B17" s="34">
        <v>13</v>
      </c>
      <c r="C17" s="150">
        <v>14</v>
      </c>
      <c r="D17" s="35" t="s">
        <v>136</v>
      </c>
      <c r="E17" s="36">
        <v>13</v>
      </c>
      <c r="F17" s="37" t="s">
        <v>71</v>
      </c>
      <c r="G17" s="36" t="s">
        <v>6</v>
      </c>
      <c r="H17" s="36">
        <v>19</v>
      </c>
      <c r="I17" s="36">
        <v>12</v>
      </c>
      <c r="J17" s="38" t="s">
        <v>71</v>
      </c>
      <c r="K17" s="15" t="s">
        <v>4</v>
      </c>
      <c r="M17" s="88"/>
      <c r="N17" s="89"/>
      <c r="O17" s="88"/>
      <c r="P17" s="89"/>
      <c r="Q17" s="88"/>
      <c r="R17" s="89"/>
      <c r="S17" s="88"/>
      <c r="T17" s="89"/>
      <c r="U17" s="19">
        <v>12</v>
      </c>
      <c r="V17" s="109"/>
      <c r="W17" s="56"/>
      <c r="X17" s="57"/>
      <c r="Y17" s="60">
        <v>19</v>
      </c>
      <c r="Z17" s="110">
        <v>13</v>
      </c>
      <c r="AA17" s="8" t="s">
        <v>120</v>
      </c>
      <c r="AC17">
        <v>12</v>
      </c>
      <c r="AD17" s="119" t="s">
        <v>84</v>
      </c>
      <c r="AE17" s="113">
        <v>22</v>
      </c>
      <c r="AG17" s="113">
        <v>7</v>
      </c>
      <c r="AH17" s="120" t="s">
        <v>55</v>
      </c>
      <c r="AI17">
        <v>15</v>
      </c>
    </row>
    <row r="18" spans="2:35" x14ac:dyDescent="0.3">
      <c r="B18" s="34">
        <v>14</v>
      </c>
      <c r="C18" s="150">
        <v>15</v>
      </c>
      <c r="D18" s="35" t="s">
        <v>53</v>
      </c>
      <c r="E18" s="36">
        <v>10</v>
      </c>
      <c r="F18" s="37" t="s">
        <v>72</v>
      </c>
      <c r="G18" s="36" t="s">
        <v>6</v>
      </c>
      <c r="H18" s="36">
        <v>7</v>
      </c>
      <c r="I18" s="36">
        <v>13</v>
      </c>
      <c r="J18" s="38" t="s">
        <v>72</v>
      </c>
      <c r="K18" s="15" t="s">
        <v>3</v>
      </c>
      <c r="M18" s="84">
        <v>20</v>
      </c>
      <c r="N18" s="85"/>
      <c r="O18" s="94">
        <v>19</v>
      </c>
      <c r="P18" s="95"/>
      <c r="Q18" s="82">
        <v>18</v>
      </c>
      <c r="R18" s="83"/>
      <c r="S18" s="82">
        <v>17</v>
      </c>
      <c r="T18" s="83"/>
      <c r="U18" s="19">
        <v>13</v>
      </c>
      <c r="V18" s="109">
        <v>14</v>
      </c>
      <c r="W18" s="58">
        <v>7</v>
      </c>
      <c r="X18" s="57"/>
      <c r="Y18" s="59"/>
      <c r="Z18" s="110"/>
      <c r="AA18" s="8" t="s">
        <v>121</v>
      </c>
      <c r="AD18" s="178" t="s">
        <v>251</v>
      </c>
      <c r="AE18" s="114">
        <v>23</v>
      </c>
      <c r="AF18" s="121"/>
      <c r="AG18" s="114">
        <v>8</v>
      </c>
      <c r="AH18" s="178" t="s">
        <v>253</v>
      </c>
    </row>
    <row r="19" spans="2:35" x14ac:dyDescent="0.3">
      <c r="B19" s="34">
        <v>15</v>
      </c>
      <c r="C19" s="150">
        <v>16</v>
      </c>
      <c r="D19" s="35" t="s">
        <v>55</v>
      </c>
      <c r="E19" s="36">
        <v>7</v>
      </c>
      <c r="F19" s="37" t="s">
        <v>73</v>
      </c>
      <c r="G19" s="36" t="s">
        <v>6</v>
      </c>
      <c r="H19" s="36">
        <v>20</v>
      </c>
      <c r="I19" s="36">
        <v>14</v>
      </c>
      <c r="J19" s="38" t="s">
        <v>73</v>
      </c>
      <c r="K19" s="15" t="s">
        <v>105</v>
      </c>
      <c r="M19" s="90"/>
      <c r="N19" s="91"/>
      <c r="O19" s="96"/>
      <c r="P19" s="97"/>
      <c r="Q19" s="88"/>
      <c r="R19" s="89"/>
      <c r="S19" s="88"/>
      <c r="T19" s="89"/>
      <c r="U19" s="19">
        <v>14</v>
      </c>
      <c r="V19" s="109"/>
      <c r="W19" s="56"/>
      <c r="X19" s="57"/>
      <c r="Y19" s="60">
        <v>20</v>
      </c>
      <c r="Z19" s="110">
        <v>15</v>
      </c>
      <c r="AA19" s="8" t="s">
        <v>122</v>
      </c>
      <c r="AC19">
        <v>2</v>
      </c>
      <c r="AD19" s="119" t="s">
        <v>130</v>
      </c>
      <c r="AE19" s="115">
        <v>24</v>
      </c>
      <c r="AG19" s="115">
        <v>9</v>
      </c>
      <c r="AH19" s="120" t="s">
        <v>133</v>
      </c>
      <c r="AI19">
        <v>5</v>
      </c>
    </row>
    <row r="20" spans="2:35" x14ac:dyDescent="0.3">
      <c r="B20" s="34">
        <v>16</v>
      </c>
      <c r="C20" s="150">
        <v>17</v>
      </c>
      <c r="D20" s="35" t="s">
        <v>54</v>
      </c>
      <c r="E20" s="36">
        <v>28</v>
      </c>
      <c r="F20" s="37" t="s">
        <v>74</v>
      </c>
      <c r="G20" s="36" t="s">
        <v>6</v>
      </c>
      <c r="H20" s="36">
        <v>8</v>
      </c>
      <c r="I20" s="36">
        <v>15</v>
      </c>
      <c r="J20" s="38" t="s">
        <v>74</v>
      </c>
      <c r="K20" s="15" t="s">
        <v>101</v>
      </c>
      <c r="M20" s="98">
        <v>24</v>
      </c>
      <c r="N20" s="99"/>
      <c r="O20" s="100">
        <v>23</v>
      </c>
      <c r="P20" s="101"/>
      <c r="Q20" s="98">
        <v>22</v>
      </c>
      <c r="R20" s="99"/>
      <c r="S20" s="86">
        <v>21</v>
      </c>
      <c r="T20" s="87"/>
      <c r="U20" s="19">
        <v>15</v>
      </c>
      <c r="V20" s="109">
        <v>16</v>
      </c>
      <c r="W20" s="58">
        <v>8</v>
      </c>
      <c r="X20" s="57"/>
      <c r="Y20" s="59"/>
      <c r="Z20" s="110"/>
      <c r="AA20" s="8" t="s">
        <v>123</v>
      </c>
      <c r="AC20">
        <v>11</v>
      </c>
      <c r="AD20" s="119" t="s">
        <v>240</v>
      </c>
      <c r="AE20" s="113">
        <v>25</v>
      </c>
      <c r="AG20" s="113">
        <v>10</v>
      </c>
      <c r="AH20" s="120" t="s">
        <v>53</v>
      </c>
      <c r="AI20">
        <v>14</v>
      </c>
    </row>
    <row r="21" spans="2:35" x14ac:dyDescent="0.3">
      <c r="B21" s="34">
        <v>17</v>
      </c>
      <c r="C21" s="150">
        <v>18</v>
      </c>
      <c r="D21" s="35" t="s">
        <v>139</v>
      </c>
      <c r="E21" s="36">
        <v>4</v>
      </c>
      <c r="F21" s="37" t="s">
        <v>75</v>
      </c>
      <c r="G21" s="36" t="s">
        <v>6</v>
      </c>
      <c r="H21" s="36">
        <v>21</v>
      </c>
      <c r="I21" s="36">
        <v>16</v>
      </c>
      <c r="J21" s="38" t="s">
        <v>75</v>
      </c>
      <c r="K21" s="15" t="s">
        <v>90</v>
      </c>
      <c r="M21" s="102"/>
      <c r="N21" s="103"/>
      <c r="O21" s="104"/>
      <c r="P21" s="105"/>
      <c r="Q21" s="102"/>
      <c r="R21" s="103"/>
      <c r="S21" s="92"/>
      <c r="T21" s="93"/>
      <c r="U21" s="19">
        <v>16</v>
      </c>
      <c r="V21" s="109"/>
      <c r="W21" s="56"/>
      <c r="X21" s="57"/>
      <c r="Y21" s="60">
        <v>21</v>
      </c>
      <c r="Z21" s="110">
        <v>17</v>
      </c>
      <c r="AA21" s="8" t="s">
        <v>124</v>
      </c>
      <c r="AD21" s="179" t="s">
        <v>250</v>
      </c>
      <c r="AE21" s="114">
        <v>26</v>
      </c>
      <c r="AF21" s="121"/>
      <c r="AG21" s="114">
        <v>11</v>
      </c>
      <c r="AH21" s="178" t="s">
        <v>249</v>
      </c>
    </row>
    <row r="22" spans="2:35" x14ac:dyDescent="0.3">
      <c r="B22" s="34">
        <v>18</v>
      </c>
      <c r="C22" s="150">
        <v>19</v>
      </c>
      <c r="D22" s="35" t="s">
        <v>138</v>
      </c>
      <c r="E22" s="36">
        <v>1</v>
      </c>
      <c r="F22" s="37" t="s">
        <v>76</v>
      </c>
      <c r="G22" s="36" t="s">
        <v>6</v>
      </c>
      <c r="H22" s="36">
        <v>9</v>
      </c>
      <c r="I22" s="36">
        <v>17</v>
      </c>
      <c r="J22" s="38" t="s">
        <v>76</v>
      </c>
      <c r="K22" s="15" t="s">
        <v>86</v>
      </c>
      <c r="U22" s="19">
        <v>17</v>
      </c>
      <c r="V22" s="109">
        <v>18</v>
      </c>
      <c r="W22" s="58">
        <v>9</v>
      </c>
      <c r="X22" s="57"/>
      <c r="Y22" s="59"/>
      <c r="Z22" s="110"/>
      <c r="AA22" s="8" t="s">
        <v>125</v>
      </c>
      <c r="AC22">
        <v>1</v>
      </c>
      <c r="AD22" s="119" t="s">
        <v>129</v>
      </c>
      <c r="AE22" s="115">
        <v>27</v>
      </c>
      <c r="AG22" s="115">
        <v>12</v>
      </c>
      <c r="AH22" s="120" t="s">
        <v>132</v>
      </c>
      <c r="AI22">
        <v>4</v>
      </c>
    </row>
    <row r="23" spans="2:35" ht="15" thickBot="1" x14ac:dyDescent="0.35">
      <c r="B23" s="30">
        <v>19</v>
      </c>
      <c r="C23" s="151" t="s">
        <v>0</v>
      </c>
      <c r="D23" s="111" t="s">
        <v>55</v>
      </c>
      <c r="E23" s="31" t="s">
        <v>44</v>
      </c>
      <c r="F23" s="32" t="s">
        <v>2</v>
      </c>
      <c r="G23" s="31" t="s">
        <v>54</v>
      </c>
      <c r="H23" s="31">
        <v>12</v>
      </c>
      <c r="I23" s="31">
        <v>23</v>
      </c>
      <c r="J23" s="33" t="s">
        <v>60</v>
      </c>
      <c r="K23" s="15" t="s">
        <v>96</v>
      </c>
      <c r="U23" s="19">
        <v>18</v>
      </c>
      <c r="V23" s="55"/>
      <c r="W23" s="52"/>
      <c r="X23" s="54"/>
      <c r="Y23" s="61">
        <v>22</v>
      </c>
      <c r="Z23" s="52" t="s">
        <v>108</v>
      </c>
      <c r="AA23" s="8" t="s">
        <v>52</v>
      </c>
      <c r="AC23">
        <v>16</v>
      </c>
      <c r="AD23" s="119" t="s">
        <v>230</v>
      </c>
      <c r="AE23" s="113">
        <v>28</v>
      </c>
      <c r="AG23" s="113">
        <v>13</v>
      </c>
      <c r="AH23" s="120" t="s">
        <v>136</v>
      </c>
      <c r="AI23">
        <v>13</v>
      </c>
    </row>
    <row r="24" spans="2:35" ht="15" thickBot="1" x14ac:dyDescent="0.35">
      <c r="B24" s="153">
        <v>20</v>
      </c>
      <c r="C24" s="156">
        <v>25</v>
      </c>
      <c r="D24" s="159" t="s">
        <v>137</v>
      </c>
      <c r="E24" s="162">
        <v>16</v>
      </c>
      <c r="F24" s="165" t="s">
        <v>229</v>
      </c>
      <c r="G24" s="168" t="s">
        <v>53</v>
      </c>
      <c r="H24" s="168">
        <v>24</v>
      </c>
      <c r="I24" s="168">
        <v>22</v>
      </c>
      <c r="J24" s="169" t="s">
        <v>59</v>
      </c>
      <c r="K24" s="144" t="s">
        <v>5</v>
      </c>
      <c r="U24" s="19">
        <v>19</v>
      </c>
      <c r="V24" s="65">
        <v>9</v>
      </c>
      <c r="W24" s="63">
        <v>10</v>
      </c>
      <c r="X24" s="64"/>
      <c r="Y24" s="65"/>
      <c r="Z24" s="62"/>
      <c r="AA24" s="8" t="s">
        <v>57</v>
      </c>
      <c r="AD24" s="179" t="s">
        <v>254</v>
      </c>
      <c r="AE24" s="114">
        <v>29</v>
      </c>
      <c r="AF24" s="121"/>
      <c r="AG24" s="114">
        <v>14</v>
      </c>
      <c r="AH24" s="178" t="s">
        <v>252</v>
      </c>
    </row>
    <row r="25" spans="2:35" x14ac:dyDescent="0.3">
      <c r="B25" s="30">
        <v>21</v>
      </c>
      <c r="C25" s="151">
        <v>22</v>
      </c>
      <c r="D25" s="111" t="s">
        <v>137</v>
      </c>
      <c r="E25" s="31">
        <v>16</v>
      </c>
      <c r="F25" s="32" t="s">
        <v>60</v>
      </c>
      <c r="G25" s="31" t="s">
        <v>53</v>
      </c>
      <c r="H25" s="31">
        <v>24</v>
      </c>
      <c r="I25" s="31">
        <v>22</v>
      </c>
      <c r="J25" s="33" t="s">
        <v>59</v>
      </c>
      <c r="K25" s="15" t="s">
        <v>5</v>
      </c>
      <c r="U25" s="19">
        <v>20</v>
      </c>
      <c r="V25" s="68"/>
      <c r="W25" s="66"/>
      <c r="X25" s="5"/>
      <c r="Y25" s="67">
        <v>23</v>
      </c>
      <c r="Z25" s="66">
        <v>10</v>
      </c>
      <c r="AA25" s="8" t="s">
        <v>58</v>
      </c>
      <c r="AC25">
        <v>6</v>
      </c>
      <c r="AD25" s="119" t="s">
        <v>134</v>
      </c>
      <c r="AE25" s="115">
        <v>30</v>
      </c>
      <c r="AG25" s="115">
        <v>15</v>
      </c>
      <c r="AH25" s="120" t="s">
        <v>131</v>
      </c>
      <c r="AI25">
        <v>3</v>
      </c>
    </row>
    <row r="26" spans="2:35" ht="15" thickBot="1" x14ac:dyDescent="0.35">
      <c r="B26" s="39">
        <v>22</v>
      </c>
      <c r="C26" s="146">
        <v>11</v>
      </c>
      <c r="D26" s="40" t="s">
        <v>83</v>
      </c>
      <c r="E26" s="41" t="s">
        <v>44</v>
      </c>
      <c r="F26" s="42" t="s">
        <v>52</v>
      </c>
      <c r="G26" s="41" t="s">
        <v>83</v>
      </c>
      <c r="H26" s="41" t="s">
        <v>151</v>
      </c>
      <c r="I26" s="41" t="s">
        <v>150</v>
      </c>
      <c r="J26" s="43" t="s">
        <v>52</v>
      </c>
      <c r="K26" s="15"/>
      <c r="U26" s="19">
        <v>21</v>
      </c>
      <c r="V26" s="72" t="s">
        <v>80</v>
      </c>
      <c r="W26" s="70">
        <v>11</v>
      </c>
      <c r="X26" s="71"/>
      <c r="Y26" s="72"/>
      <c r="Z26" s="69"/>
      <c r="AA26" s="8" t="s">
        <v>52</v>
      </c>
      <c r="AD26" s="122"/>
      <c r="AE26" s="123"/>
      <c r="AF26" s="123"/>
      <c r="AG26" s="123"/>
      <c r="AH26" s="124"/>
    </row>
    <row r="27" spans="2:35" ht="15" thickBot="1" x14ac:dyDescent="0.35">
      <c r="B27" s="172">
        <v>23</v>
      </c>
      <c r="C27" s="173">
        <v>1</v>
      </c>
      <c r="D27" s="174" t="s">
        <v>147</v>
      </c>
      <c r="E27" s="175" t="s">
        <v>44</v>
      </c>
      <c r="F27" s="176" t="s">
        <v>148</v>
      </c>
      <c r="G27" s="175" t="s">
        <v>84</v>
      </c>
      <c r="H27" s="175">
        <v>13</v>
      </c>
      <c r="I27" s="175">
        <v>25</v>
      </c>
      <c r="J27" s="177" t="s">
        <v>78</v>
      </c>
      <c r="K27" s="144" t="s">
        <v>95</v>
      </c>
      <c r="U27" s="19">
        <v>23</v>
      </c>
      <c r="V27" s="65">
        <v>21</v>
      </c>
      <c r="W27" s="63">
        <v>12</v>
      </c>
      <c r="X27" s="64"/>
      <c r="Y27" s="65"/>
      <c r="Z27" s="62"/>
      <c r="AA27" s="8" t="s">
        <v>60</v>
      </c>
    </row>
    <row r="28" spans="2:35" x14ac:dyDescent="0.3">
      <c r="B28" s="39">
        <v>24</v>
      </c>
      <c r="C28" s="146">
        <v>2</v>
      </c>
      <c r="D28" s="40" t="s">
        <v>83</v>
      </c>
      <c r="E28" s="41" t="s">
        <v>44</v>
      </c>
      <c r="F28" s="42" t="s">
        <v>52</v>
      </c>
      <c r="G28" s="41" t="s">
        <v>83</v>
      </c>
      <c r="H28" s="41" t="s">
        <v>151</v>
      </c>
      <c r="I28" s="41" t="s">
        <v>150</v>
      </c>
      <c r="J28" s="43" t="s">
        <v>52</v>
      </c>
      <c r="K28" s="15"/>
      <c r="U28" s="19">
        <v>25</v>
      </c>
      <c r="V28" s="75" t="s">
        <v>126</v>
      </c>
      <c r="W28" s="74">
        <v>13</v>
      </c>
      <c r="X28" s="77"/>
      <c r="Y28" s="107"/>
      <c r="Z28" s="73"/>
      <c r="AA28" s="76" t="s">
        <v>78</v>
      </c>
      <c r="AB28" s="76"/>
    </row>
    <row r="29" spans="2:35" x14ac:dyDescent="0.3">
      <c r="B29" s="39"/>
      <c r="C29" s="146">
        <v>20</v>
      </c>
      <c r="D29" s="40" t="s">
        <v>83</v>
      </c>
      <c r="E29" s="41" t="s">
        <v>44</v>
      </c>
      <c r="F29" s="42" t="s">
        <v>52</v>
      </c>
      <c r="G29" s="41" t="s">
        <v>83</v>
      </c>
      <c r="H29" s="41" t="s">
        <v>151</v>
      </c>
      <c r="I29" s="41" t="s">
        <v>150</v>
      </c>
      <c r="J29" s="43" t="s">
        <v>52</v>
      </c>
      <c r="K29" s="15"/>
      <c r="U29" s="19">
        <v>25</v>
      </c>
      <c r="V29" s="75" t="s">
        <v>126</v>
      </c>
      <c r="W29" s="74">
        <v>13</v>
      </c>
      <c r="X29" s="77"/>
      <c r="Y29" s="107"/>
      <c r="Z29" s="73"/>
      <c r="AA29" s="76" t="s">
        <v>78</v>
      </c>
      <c r="AB29" s="76"/>
      <c r="AC29">
        <v>9</v>
      </c>
      <c r="AD29" t="s">
        <v>235</v>
      </c>
    </row>
    <row r="30" spans="2:35" x14ac:dyDescent="0.3">
      <c r="B30" s="154"/>
      <c r="C30" s="157">
        <v>23</v>
      </c>
      <c r="D30" s="160" t="s">
        <v>145</v>
      </c>
      <c r="E30" s="163" t="s">
        <v>44</v>
      </c>
      <c r="F30" s="166" t="s">
        <v>52</v>
      </c>
      <c r="G30" s="163" t="s">
        <v>83</v>
      </c>
      <c r="H30" s="163" t="s">
        <v>146</v>
      </c>
      <c r="I30" s="163" t="s">
        <v>149</v>
      </c>
      <c r="J30" s="170" t="s">
        <v>52</v>
      </c>
      <c r="K30" s="130" t="s">
        <v>87</v>
      </c>
      <c r="U30" s="19">
        <v>26</v>
      </c>
      <c r="V30" s="1"/>
      <c r="W30" s="19"/>
      <c r="Y30" s="1"/>
      <c r="Z30" s="1"/>
      <c r="AA30" s="8" t="s">
        <v>106</v>
      </c>
      <c r="AC30">
        <v>10</v>
      </c>
      <c r="AD30" t="s">
        <v>237</v>
      </c>
    </row>
    <row r="31" spans="2:35" ht="15" thickBot="1" x14ac:dyDescent="0.35">
      <c r="B31" s="134"/>
      <c r="C31" s="136">
        <v>26</v>
      </c>
      <c r="D31" s="135" t="s">
        <v>0</v>
      </c>
      <c r="E31" s="136"/>
      <c r="F31" s="135"/>
      <c r="G31" s="136"/>
      <c r="H31" s="136"/>
      <c r="I31" s="136"/>
      <c r="J31" s="137"/>
      <c r="K31" s="135"/>
      <c r="U31" s="19"/>
      <c r="V31" s="1"/>
      <c r="W31" s="19"/>
      <c r="Y31" s="1"/>
      <c r="Z31" s="1"/>
      <c r="AC31">
        <v>19</v>
      </c>
      <c r="AD31" t="s">
        <v>255</v>
      </c>
    </row>
    <row r="32" spans="2:35" x14ac:dyDescent="0.3">
      <c r="AC32">
        <v>21</v>
      </c>
      <c r="AD32" t="s">
        <v>231</v>
      </c>
    </row>
    <row r="33" spans="2:30" x14ac:dyDescent="0.3">
      <c r="AC33">
        <v>22</v>
      </c>
      <c r="AD33" t="s">
        <v>256</v>
      </c>
    </row>
    <row r="34" spans="2:30" x14ac:dyDescent="0.3">
      <c r="AC34">
        <v>23</v>
      </c>
      <c r="AD34" t="s">
        <v>257</v>
      </c>
    </row>
    <row r="35" spans="2:30" x14ac:dyDescent="0.3">
      <c r="B35" s="1">
        <v>21</v>
      </c>
      <c r="D35" s="112" t="s">
        <v>132</v>
      </c>
      <c r="E35" s="9" t="s">
        <v>44</v>
      </c>
      <c r="F35" s="18" t="s">
        <v>2</v>
      </c>
      <c r="G35" s="9"/>
      <c r="H35" s="9"/>
      <c r="I35" s="9"/>
      <c r="K35" s="15" t="s">
        <v>91</v>
      </c>
      <c r="AC35">
        <v>24</v>
      </c>
      <c r="AD35" t="s">
        <v>256</v>
      </c>
    </row>
    <row r="36" spans="2:30" x14ac:dyDescent="0.3">
      <c r="AD36"/>
    </row>
    <row r="37" spans="2:30" x14ac:dyDescent="0.3">
      <c r="AD37"/>
    </row>
    <row r="38" spans="2:30" x14ac:dyDescent="0.3">
      <c r="AD38"/>
    </row>
    <row r="39" spans="2:30" x14ac:dyDescent="0.3">
      <c r="B39" s="1">
        <v>1</v>
      </c>
      <c r="D39" s="3" t="s">
        <v>78</v>
      </c>
      <c r="AD39"/>
    </row>
    <row r="40" spans="2:30" x14ac:dyDescent="0.3">
      <c r="B40" s="1">
        <v>2</v>
      </c>
      <c r="D40" t="s">
        <v>52</v>
      </c>
      <c r="I40" s="1">
        <v>1</v>
      </c>
      <c r="J40" t="s">
        <v>233</v>
      </c>
      <c r="AD40"/>
    </row>
    <row r="41" spans="2:30" x14ac:dyDescent="0.3">
      <c r="B41" s="1">
        <v>3</v>
      </c>
      <c r="D41" t="s">
        <v>205</v>
      </c>
      <c r="E41" t="s">
        <v>224</v>
      </c>
      <c r="I41" s="1">
        <v>2</v>
      </c>
      <c r="J41" t="s">
        <v>236</v>
      </c>
      <c r="AD41"/>
    </row>
    <row r="42" spans="2:30" x14ac:dyDescent="0.3">
      <c r="B42" s="1">
        <v>4</v>
      </c>
      <c r="D42" t="s">
        <v>206</v>
      </c>
      <c r="E42" t="s">
        <v>224</v>
      </c>
      <c r="I42" s="1">
        <v>3</v>
      </c>
      <c r="J42" t="s">
        <v>245</v>
      </c>
      <c r="AD42"/>
    </row>
    <row r="43" spans="2:30" x14ac:dyDescent="0.3">
      <c r="B43" s="1">
        <v>5</v>
      </c>
      <c r="D43" t="s">
        <v>207</v>
      </c>
      <c r="E43" t="s">
        <v>224</v>
      </c>
      <c r="I43" s="1">
        <v>4</v>
      </c>
      <c r="J43" t="s">
        <v>241</v>
      </c>
      <c r="AD43"/>
    </row>
    <row r="44" spans="2:30" x14ac:dyDescent="0.3">
      <c r="B44" s="1">
        <v>6</v>
      </c>
      <c r="D44" t="s">
        <v>208</v>
      </c>
      <c r="E44" t="s">
        <v>224</v>
      </c>
      <c r="I44" s="1">
        <v>5</v>
      </c>
      <c r="J44" t="s">
        <v>234</v>
      </c>
      <c r="AD44"/>
    </row>
    <row r="45" spans="2:30" x14ac:dyDescent="0.3">
      <c r="B45" s="1">
        <v>7</v>
      </c>
      <c r="D45" t="s">
        <v>209</v>
      </c>
      <c r="E45" t="s">
        <v>224</v>
      </c>
      <c r="I45" s="1">
        <v>6</v>
      </c>
      <c r="J45" t="s">
        <v>237</v>
      </c>
      <c r="AD45"/>
    </row>
    <row r="46" spans="2:30" x14ac:dyDescent="0.3">
      <c r="B46" s="1">
        <v>8</v>
      </c>
      <c r="D46" t="s">
        <v>210</v>
      </c>
      <c r="E46" t="s">
        <v>224</v>
      </c>
      <c r="I46" s="1">
        <v>7</v>
      </c>
      <c r="J46" t="s">
        <v>244</v>
      </c>
      <c r="AD46"/>
    </row>
    <row r="47" spans="2:30" x14ac:dyDescent="0.3">
      <c r="B47" s="1">
        <v>9</v>
      </c>
      <c r="D47" t="s">
        <v>211</v>
      </c>
      <c r="E47" t="s">
        <v>224</v>
      </c>
      <c r="I47" s="1">
        <v>8</v>
      </c>
      <c r="J47" t="s">
        <v>242</v>
      </c>
      <c r="AD47"/>
    </row>
    <row r="48" spans="2:30" x14ac:dyDescent="0.3">
      <c r="B48" s="1">
        <v>10</v>
      </c>
      <c r="D48" t="s">
        <v>212</v>
      </c>
      <c r="E48" t="s">
        <v>224</v>
      </c>
      <c r="I48" s="1">
        <v>9</v>
      </c>
      <c r="J48" t="s">
        <v>235</v>
      </c>
      <c r="AD48"/>
    </row>
    <row r="49" spans="2:30" x14ac:dyDescent="0.3">
      <c r="B49" s="1">
        <v>11</v>
      </c>
      <c r="D49" t="s">
        <v>52</v>
      </c>
      <c r="E49"/>
      <c r="I49" s="1">
        <v>10</v>
      </c>
      <c r="J49" t="s">
        <v>237</v>
      </c>
      <c r="AD49"/>
    </row>
    <row r="50" spans="2:30" x14ac:dyDescent="0.3">
      <c r="B50" s="1">
        <v>12</v>
      </c>
      <c r="D50" t="s">
        <v>213</v>
      </c>
      <c r="E50" t="s">
        <v>225</v>
      </c>
      <c r="I50" s="1">
        <v>11</v>
      </c>
      <c r="J50" t="s">
        <v>240</v>
      </c>
    </row>
    <row r="51" spans="2:30" x14ac:dyDescent="0.3">
      <c r="B51" s="1">
        <v>13</v>
      </c>
      <c r="D51" t="s">
        <v>214</v>
      </c>
      <c r="E51" t="s">
        <v>225</v>
      </c>
      <c r="I51" s="1">
        <v>12</v>
      </c>
      <c r="J51" t="s">
        <v>84</v>
      </c>
    </row>
    <row r="52" spans="2:30" x14ac:dyDescent="0.3">
      <c r="B52" s="1">
        <v>14</v>
      </c>
      <c r="D52" t="s">
        <v>215</v>
      </c>
      <c r="E52" t="s">
        <v>225</v>
      </c>
      <c r="I52" s="1">
        <v>13</v>
      </c>
      <c r="J52" t="s">
        <v>232</v>
      </c>
    </row>
    <row r="53" spans="2:30" x14ac:dyDescent="0.3">
      <c r="B53" s="1">
        <v>15</v>
      </c>
      <c r="D53" t="s">
        <v>216</v>
      </c>
      <c r="E53" t="s">
        <v>225</v>
      </c>
      <c r="I53" s="1">
        <v>14</v>
      </c>
      <c r="J53" t="s">
        <v>235</v>
      </c>
    </row>
    <row r="54" spans="2:30" x14ac:dyDescent="0.3">
      <c r="B54" s="1">
        <v>16</v>
      </c>
      <c r="D54" t="s">
        <v>217</v>
      </c>
      <c r="E54" t="s">
        <v>225</v>
      </c>
      <c r="I54" s="1">
        <v>15</v>
      </c>
      <c r="J54" t="s">
        <v>231</v>
      </c>
    </row>
    <row r="55" spans="2:30" x14ac:dyDescent="0.3">
      <c r="B55" s="1">
        <v>17</v>
      </c>
      <c r="D55" t="s">
        <v>218</v>
      </c>
      <c r="E55" t="s">
        <v>225</v>
      </c>
      <c r="I55" s="1">
        <v>16</v>
      </c>
      <c r="J55" t="s">
        <v>230</v>
      </c>
    </row>
    <row r="56" spans="2:30" x14ac:dyDescent="0.3">
      <c r="B56" s="1">
        <v>18</v>
      </c>
      <c r="D56" t="s">
        <v>219</v>
      </c>
      <c r="E56" t="s">
        <v>225</v>
      </c>
      <c r="I56" s="1">
        <v>17</v>
      </c>
      <c r="J56" t="s">
        <v>243</v>
      </c>
    </row>
    <row r="57" spans="2:30" x14ac:dyDescent="0.3">
      <c r="B57" s="1">
        <v>19</v>
      </c>
      <c r="D57" t="s">
        <v>220</v>
      </c>
      <c r="E57" t="s">
        <v>225</v>
      </c>
      <c r="I57" s="1">
        <v>18</v>
      </c>
      <c r="J57" t="s">
        <v>239</v>
      </c>
    </row>
    <row r="58" spans="2:30" x14ac:dyDescent="0.3">
      <c r="B58" s="1">
        <v>20</v>
      </c>
      <c r="D58" t="s">
        <v>52</v>
      </c>
      <c r="E58"/>
      <c r="I58" s="1">
        <v>19</v>
      </c>
      <c r="J58" t="s">
        <v>241</v>
      </c>
    </row>
    <row r="59" spans="2:30" x14ac:dyDescent="0.3">
      <c r="B59" s="1">
        <v>21</v>
      </c>
      <c r="D59" t="s">
        <v>221</v>
      </c>
      <c r="E59" t="s">
        <v>224</v>
      </c>
      <c r="I59" s="1">
        <v>20</v>
      </c>
      <c r="J59" t="s">
        <v>246</v>
      </c>
    </row>
    <row r="60" spans="2:30" x14ac:dyDescent="0.3">
      <c r="B60" s="1">
        <v>22</v>
      </c>
      <c r="D60" t="s">
        <v>223</v>
      </c>
      <c r="E60" t="s">
        <v>224</v>
      </c>
      <c r="I60" s="1">
        <v>21</v>
      </c>
      <c r="J60" t="s">
        <v>231</v>
      </c>
    </row>
    <row r="61" spans="2:30" x14ac:dyDescent="0.3">
      <c r="B61" s="1">
        <v>23</v>
      </c>
      <c r="D61" t="s">
        <v>52</v>
      </c>
      <c r="E61"/>
      <c r="I61" s="1">
        <v>22</v>
      </c>
      <c r="J61" t="s">
        <v>238</v>
      </c>
    </row>
    <row r="62" spans="2:30" x14ac:dyDescent="0.3">
      <c r="B62" s="1">
        <v>24</v>
      </c>
      <c r="D62" t="s">
        <v>222</v>
      </c>
      <c r="E62" t="s">
        <v>225</v>
      </c>
      <c r="I62" s="1">
        <v>23</v>
      </c>
      <c r="J62" t="s">
        <v>84</v>
      </c>
    </row>
    <row r="63" spans="2:30" x14ac:dyDescent="0.3">
      <c r="B63" s="1">
        <v>25</v>
      </c>
      <c r="D63" t="s">
        <v>226</v>
      </c>
      <c r="E63" t="s">
        <v>225</v>
      </c>
      <c r="G63"/>
      <c r="H63"/>
      <c r="I63" s="1">
        <v>24</v>
      </c>
      <c r="J63" t="s">
        <v>238</v>
      </c>
    </row>
    <row r="64" spans="2:30" x14ac:dyDescent="0.3">
      <c r="B64" s="1">
        <v>26</v>
      </c>
    </row>
    <row r="67" spans="2:5" x14ac:dyDescent="0.3">
      <c r="B67" s="1" t="s">
        <v>77</v>
      </c>
      <c r="C67" t="s">
        <v>258</v>
      </c>
      <c r="D67" s="1" t="s">
        <v>259</v>
      </c>
      <c r="E67" t="s">
        <v>1</v>
      </c>
    </row>
    <row r="68" spans="2:5" x14ac:dyDescent="0.3">
      <c r="B68" s="1">
        <v>1</v>
      </c>
      <c r="C68">
        <v>1</v>
      </c>
      <c r="D68" s="1" t="s">
        <v>61</v>
      </c>
      <c r="E68" t="s">
        <v>260</v>
      </c>
    </row>
    <row r="69" spans="2:5" x14ac:dyDescent="0.3">
      <c r="B69" s="1">
        <v>14</v>
      </c>
      <c r="C69">
        <v>2</v>
      </c>
      <c r="D69" s="1" t="s">
        <v>62</v>
      </c>
      <c r="E69" t="s">
        <v>260</v>
      </c>
    </row>
    <row r="70" spans="2:5" x14ac:dyDescent="0.3">
      <c r="B70" s="1">
        <v>2</v>
      </c>
      <c r="C70">
        <v>3</v>
      </c>
      <c r="D70" s="1" t="s">
        <v>63</v>
      </c>
      <c r="E70" t="s">
        <v>260</v>
      </c>
    </row>
    <row r="71" spans="2:5" x14ac:dyDescent="0.3">
      <c r="B71" s="1">
        <v>15</v>
      </c>
      <c r="C71">
        <v>4</v>
      </c>
      <c r="D71" s="1" t="s">
        <v>64</v>
      </c>
      <c r="E71" t="s">
        <v>260</v>
      </c>
    </row>
    <row r="72" spans="2:5" x14ac:dyDescent="0.3">
      <c r="B72" s="1">
        <v>3</v>
      </c>
      <c r="C72">
        <v>5</v>
      </c>
      <c r="D72" s="1" t="s">
        <v>65</v>
      </c>
      <c r="E72" t="s">
        <v>260</v>
      </c>
    </row>
    <row r="73" spans="2:5" x14ac:dyDescent="0.3">
      <c r="B73" s="1">
        <v>16</v>
      </c>
      <c r="C73">
        <v>6</v>
      </c>
      <c r="D73" s="1" t="s">
        <v>66</v>
      </c>
      <c r="E73" t="s">
        <v>260</v>
      </c>
    </row>
    <row r="74" spans="2:5" x14ac:dyDescent="0.3">
      <c r="B74" s="1">
        <v>4</v>
      </c>
      <c r="C74">
        <v>7</v>
      </c>
      <c r="D74" s="1" t="s">
        <v>67</v>
      </c>
      <c r="E74" t="s">
        <v>260</v>
      </c>
    </row>
    <row r="75" spans="2:5" x14ac:dyDescent="0.3">
      <c r="B75" s="1">
        <v>17</v>
      </c>
      <c r="C75">
        <v>8</v>
      </c>
      <c r="D75" s="1" t="s">
        <v>68</v>
      </c>
      <c r="E75" t="s">
        <v>260</v>
      </c>
    </row>
    <row r="76" spans="2:5" x14ac:dyDescent="0.3">
      <c r="B76" s="1">
        <v>5</v>
      </c>
      <c r="C76">
        <v>9</v>
      </c>
      <c r="D76" s="1" t="s">
        <v>52</v>
      </c>
      <c r="E76" t="s">
        <v>261</v>
      </c>
    </row>
    <row r="77" spans="2:5" x14ac:dyDescent="0.3">
      <c r="B77" s="1">
        <v>18</v>
      </c>
      <c r="C77">
        <v>10</v>
      </c>
      <c r="D77" s="1" t="s">
        <v>69</v>
      </c>
      <c r="E77" t="s">
        <v>6</v>
      </c>
    </row>
    <row r="78" spans="2:5" x14ac:dyDescent="0.3">
      <c r="B78" s="1">
        <v>6</v>
      </c>
      <c r="C78">
        <v>11</v>
      </c>
      <c r="D78" s="1" t="s">
        <v>70</v>
      </c>
      <c r="E78" t="s">
        <v>6</v>
      </c>
    </row>
    <row r="79" spans="2:5" x14ac:dyDescent="0.3">
      <c r="B79" s="1">
        <v>19</v>
      </c>
      <c r="C79">
        <v>12</v>
      </c>
      <c r="D79" s="1" t="s">
        <v>71</v>
      </c>
      <c r="E79" t="s">
        <v>6</v>
      </c>
    </row>
    <row r="80" spans="2:5" x14ac:dyDescent="0.3">
      <c r="B80" s="1">
        <v>7</v>
      </c>
      <c r="C80">
        <v>13</v>
      </c>
      <c r="D80" s="1" t="s">
        <v>72</v>
      </c>
      <c r="E80" t="s">
        <v>6</v>
      </c>
    </row>
    <row r="81" spans="2:5" x14ac:dyDescent="0.3">
      <c r="B81" s="1">
        <v>20</v>
      </c>
      <c r="C81">
        <v>14</v>
      </c>
      <c r="D81" s="1" t="s">
        <v>73</v>
      </c>
      <c r="E81" t="s">
        <v>6</v>
      </c>
    </row>
    <row r="82" spans="2:5" x14ac:dyDescent="0.3">
      <c r="B82" s="1">
        <v>8</v>
      </c>
      <c r="C82">
        <v>15</v>
      </c>
      <c r="D82" s="1" t="s">
        <v>74</v>
      </c>
      <c r="E82" t="s">
        <v>6</v>
      </c>
    </row>
    <row r="83" spans="2:5" x14ac:dyDescent="0.3">
      <c r="B83" s="1">
        <v>21</v>
      </c>
      <c r="C83">
        <v>16</v>
      </c>
      <c r="D83" s="1" t="s">
        <v>75</v>
      </c>
      <c r="E83" t="s">
        <v>6</v>
      </c>
    </row>
    <row r="84" spans="2:5" x14ac:dyDescent="0.3">
      <c r="B84" s="1">
        <v>9</v>
      </c>
      <c r="C84">
        <v>17</v>
      </c>
      <c r="D84" s="1" t="s">
        <v>76</v>
      </c>
      <c r="E84" t="s">
        <v>6</v>
      </c>
    </row>
    <row r="85" spans="2:5" x14ac:dyDescent="0.3">
      <c r="B85" s="1">
        <v>22</v>
      </c>
      <c r="C85">
        <v>18</v>
      </c>
      <c r="D85" s="1" t="s">
        <v>52</v>
      </c>
      <c r="E85" t="s">
        <v>261</v>
      </c>
    </row>
    <row r="86" spans="2:5" x14ac:dyDescent="0.3">
      <c r="B86" s="1">
        <v>10</v>
      </c>
      <c r="C86">
        <v>19</v>
      </c>
      <c r="D86" s="1" t="s">
        <v>57</v>
      </c>
      <c r="E86" t="s">
        <v>86</v>
      </c>
    </row>
    <row r="87" spans="2:5" x14ac:dyDescent="0.3">
      <c r="B87" s="1">
        <v>23</v>
      </c>
      <c r="C87">
        <v>20</v>
      </c>
      <c r="D87" s="1" t="s">
        <v>58</v>
      </c>
      <c r="E87" t="s">
        <v>3</v>
      </c>
    </row>
    <row r="88" spans="2:5" x14ac:dyDescent="0.3">
      <c r="B88" s="1">
        <v>11</v>
      </c>
      <c r="C88">
        <v>21</v>
      </c>
      <c r="D88" s="1" t="s">
        <v>52</v>
      </c>
      <c r="E88" t="s">
        <v>261</v>
      </c>
    </row>
    <row r="89" spans="2:5" x14ac:dyDescent="0.3">
      <c r="B89" s="1">
        <v>24</v>
      </c>
      <c r="C89">
        <v>22</v>
      </c>
      <c r="D89" s="1" t="s">
        <v>59</v>
      </c>
      <c r="E89" t="s">
        <v>3</v>
      </c>
    </row>
    <row r="90" spans="2:5" x14ac:dyDescent="0.3">
      <c r="B90" s="1">
        <v>12</v>
      </c>
      <c r="C90">
        <v>23</v>
      </c>
      <c r="D90" s="1" t="s">
        <v>60</v>
      </c>
      <c r="E90" t="s">
        <v>86</v>
      </c>
    </row>
    <row r="91" spans="2:5" x14ac:dyDescent="0.3">
      <c r="B91" s="1">
        <v>25</v>
      </c>
      <c r="C91">
        <v>24</v>
      </c>
      <c r="D91" s="1" t="s">
        <v>52</v>
      </c>
      <c r="E91" t="s">
        <v>261</v>
      </c>
    </row>
    <row r="92" spans="2:5" x14ac:dyDescent="0.3">
      <c r="B92" s="1">
        <v>13</v>
      </c>
      <c r="C92">
        <v>25</v>
      </c>
      <c r="D92" s="1" t="s">
        <v>78</v>
      </c>
      <c r="E92" t="s">
        <v>85</v>
      </c>
    </row>
    <row r="93" spans="2:5" x14ac:dyDescent="0.3">
      <c r="B93" s="1" t="s">
        <v>0</v>
      </c>
      <c r="C93">
        <v>26</v>
      </c>
      <c r="D93" s="1"/>
      <c r="E93"/>
    </row>
  </sheetData>
  <sortState xmlns:xlrd2="http://schemas.microsoft.com/office/spreadsheetml/2017/richdata2" ref="I40:J63">
    <sortCondition ref="I40:I63"/>
  </sortState>
  <mergeCells count="4">
    <mergeCell ref="V4:Z4"/>
    <mergeCell ref="M4:T4"/>
    <mergeCell ref="AD4:AH4"/>
    <mergeCell ref="AD9:AH9"/>
  </mergeCells>
  <phoneticPr fontId="10" type="noConversion"/>
  <pageMargins left="0.45" right="0.45" top="0.75" bottom="0.75" header="0.3" footer="0.3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F634-A400-4D96-BACF-6B9C1FF3CBFA}">
  <dimension ref="A1:N41"/>
  <sheetViews>
    <sheetView zoomScale="115" zoomScaleNormal="115" workbookViewId="0">
      <pane ySplit="1" topLeftCell="A2" activePane="bottomLeft" state="frozen"/>
      <selection pane="bottomLeft" activeCell="M13" sqref="M13"/>
    </sheetView>
  </sheetViews>
  <sheetFormatPr defaultRowHeight="14.4" x14ac:dyDescent="0.3"/>
  <cols>
    <col min="1" max="1" width="10.33203125" customWidth="1"/>
    <col min="2" max="2" width="16.21875" customWidth="1"/>
    <col min="3" max="3" width="15.21875" customWidth="1"/>
    <col min="4" max="4" width="16.5546875" customWidth="1"/>
    <col min="6" max="6" width="10.6640625" customWidth="1"/>
    <col min="8" max="8" width="3.5546875" style="1" customWidth="1"/>
    <col min="9" max="9" width="4.44140625" style="1" customWidth="1"/>
    <col min="13" max="14" width="10" customWidth="1"/>
  </cols>
  <sheetData>
    <row r="1" spans="1:14" s="12" customFormat="1" x14ac:dyDescent="0.3">
      <c r="B1" s="12" t="s">
        <v>304</v>
      </c>
      <c r="C1" s="12" t="s">
        <v>305</v>
      </c>
      <c r="D1" s="12" t="s">
        <v>314</v>
      </c>
      <c r="H1" s="106"/>
      <c r="I1" s="106"/>
      <c r="M1" s="12" t="s">
        <v>335</v>
      </c>
      <c r="N1" s="12" t="s">
        <v>336</v>
      </c>
    </row>
    <row r="2" spans="1:14" x14ac:dyDescent="0.3">
      <c r="A2" t="s">
        <v>296</v>
      </c>
    </row>
    <row r="3" spans="1:14" x14ac:dyDescent="0.3">
      <c r="A3" t="s">
        <v>297</v>
      </c>
    </row>
    <row r="4" spans="1:14" x14ac:dyDescent="0.3">
      <c r="A4" t="s">
        <v>52</v>
      </c>
    </row>
    <row r="5" spans="1:14" x14ac:dyDescent="0.3">
      <c r="A5" t="s">
        <v>311</v>
      </c>
    </row>
    <row r="6" spans="1:14" x14ac:dyDescent="0.3">
      <c r="A6" t="s">
        <v>282</v>
      </c>
    </row>
    <row r="7" spans="1:14" x14ac:dyDescent="0.3">
      <c r="A7" t="s">
        <v>281</v>
      </c>
      <c r="D7" t="s">
        <v>229</v>
      </c>
      <c r="G7" s="190" t="s">
        <v>52</v>
      </c>
      <c r="H7" s="1">
        <v>1</v>
      </c>
    </row>
    <row r="8" spans="1:14" x14ac:dyDescent="0.3">
      <c r="A8" t="s">
        <v>280</v>
      </c>
      <c r="B8" t="s">
        <v>229</v>
      </c>
      <c r="D8" t="s">
        <v>2</v>
      </c>
      <c r="F8" s="8" t="s">
        <v>322</v>
      </c>
      <c r="G8" s="190" t="s">
        <v>52</v>
      </c>
      <c r="H8" s="1">
        <v>2</v>
      </c>
      <c r="I8" s="1">
        <v>1</v>
      </c>
      <c r="J8" t="s">
        <v>318</v>
      </c>
      <c r="K8" t="s">
        <v>323</v>
      </c>
      <c r="L8" t="s">
        <v>337</v>
      </c>
      <c r="M8">
        <v>10</v>
      </c>
      <c r="N8">
        <v>10</v>
      </c>
    </row>
    <row r="9" spans="1:14" x14ac:dyDescent="0.3">
      <c r="A9" t="s">
        <v>279</v>
      </c>
      <c r="B9" t="s">
        <v>2</v>
      </c>
      <c r="C9" t="s">
        <v>310</v>
      </c>
      <c r="F9" s="8" t="s">
        <v>319</v>
      </c>
      <c r="G9" s="190" t="s">
        <v>308</v>
      </c>
      <c r="H9" s="1">
        <v>3</v>
      </c>
      <c r="I9" s="1">
        <v>2</v>
      </c>
      <c r="J9" t="s">
        <v>315</v>
      </c>
      <c r="K9" t="s">
        <v>271</v>
      </c>
      <c r="L9" t="s">
        <v>308</v>
      </c>
      <c r="M9">
        <v>11</v>
      </c>
      <c r="N9">
        <v>11</v>
      </c>
    </row>
    <row r="10" spans="1:14" x14ac:dyDescent="0.3">
      <c r="A10" t="s">
        <v>278</v>
      </c>
      <c r="B10" t="s">
        <v>301</v>
      </c>
      <c r="D10" t="s">
        <v>301</v>
      </c>
      <c r="F10" s="8" t="s">
        <v>320</v>
      </c>
      <c r="G10" s="190" t="s">
        <v>309</v>
      </c>
      <c r="H10" s="1">
        <v>4</v>
      </c>
      <c r="I10" s="1">
        <v>3</v>
      </c>
      <c r="J10" t="s">
        <v>307</v>
      </c>
      <c r="K10" t="s">
        <v>272</v>
      </c>
      <c r="L10" t="s">
        <v>309</v>
      </c>
      <c r="M10">
        <v>12</v>
      </c>
      <c r="N10">
        <v>12</v>
      </c>
    </row>
    <row r="11" spans="1:14" x14ac:dyDescent="0.3">
      <c r="A11" t="s">
        <v>277</v>
      </c>
      <c r="B11" t="s">
        <v>300</v>
      </c>
      <c r="D11" t="s">
        <v>300</v>
      </c>
      <c r="F11" s="8" t="s">
        <v>321</v>
      </c>
      <c r="G11" s="190" t="s">
        <v>316</v>
      </c>
      <c r="H11" s="1">
        <v>5</v>
      </c>
      <c r="I11" s="1">
        <v>4</v>
      </c>
      <c r="J11" t="s">
        <v>0</v>
      </c>
      <c r="L11" t="s">
        <v>296</v>
      </c>
      <c r="M11">
        <v>13</v>
      </c>
      <c r="N11">
        <v>13</v>
      </c>
    </row>
    <row r="12" spans="1:14" x14ac:dyDescent="0.3">
      <c r="A12" t="s">
        <v>276</v>
      </c>
      <c r="B12" t="s">
        <v>299</v>
      </c>
      <c r="D12" t="s">
        <v>299</v>
      </c>
      <c r="F12" s="8" t="s">
        <v>279</v>
      </c>
      <c r="G12" s="190" t="s">
        <v>317</v>
      </c>
      <c r="H12" s="1">
        <v>6</v>
      </c>
      <c r="I12" s="1">
        <v>5</v>
      </c>
      <c r="J12" t="s">
        <v>312</v>
      </c>
      <c r="K12" t="s">
        <v>274</v>
      </c>
      <c r="L12" t="s">
        <v>315</v>
      </c>
      <c r="N12">
        <v>31</v>
      </c>
    </row>
    <row r="13" spans="1:14" x14ac:dyDescent="0.3">
      <c r="A13" t="s">
        <v>275</v>
      </c>
      <c r="B13" t="s">
        <v>298</v>
      </c>
      <c r="D13" t="s">
        <v>298</v>
      </c>
      <c r="G13" s="190" t="s">
        <v>318</v>
      </c>
      <c r="H13" s="1">
        <v>7</v>
      </c>
      <c r="I13" s="1">
        <v>6</v>
      </c>
      <c r="J13" t="s">
        <v>52</v>
      </c>
      <c r="K13" t="s">
        <v>52</v>
      </c>
      <c r="L13" t="s">
        <v>307</v>
      </c>
      <c r="N13">
        <v>30</v>
      </c>
    </row>
    <row r="14" spans="1:14" x14ac:dyDescent="0.3">
      <c r="A14" t="s">
        <v>274</v>
      </c>
      <c r="C14" t="s">
        <v>313</v>
      </c>
      <c r="G14" s="190" t="s">
        <v>318</v>
      </c>
      <c r="H14" s="1">
        <v>8</v>
      </c>
      <c r="L14" t="s">
        <v>312</v>
      </c>
      <c r="M14">
        <v>5</v>
      </c>
      <c r="N14">
        <v>29</v>
      </c>
    </row>
    <row r="15" spans="1:14" x14ac:dyDescent="0.3">
      <c r="A15" t="s">
        <v>273</v>
      </c>
      <c r="C15" t="s">
        <v>338</v>
      </c>
      <c r="L15" t="s">
        <v>339</v>
      </c>
      <c r="M15">
        <v>4</v>
      </c>
      <c r="N15">
        <v>33</v>
      </c>
    </row>
    <row r="16" spans="1:14" x14ac:dyDescent="0.3">
      <c r="A16" t="s">
        <v>272</v>
      </c>
      <c r="B16" t="s">
        <v>173</v>
      </c>
      <c r="D16" t="s">
        <v>173</v>
      </c>
    </row>
    <row r="17" spans="1:13" x14ac:dyDescent="0.3">
      <c r="A17" t="s">
        <v>271</v>
      </c>
      <c r="B17" t="s">
        <v>172</v>
      </c>
      <c r="D17" t="s">
        <v>172</v>
      </c>
      <c r="L17" t="s">
        <v>302</v>
      </c>
    </row>
    <row r="18" spans="1:13" x14ac:dyDescent="0.3">
      <c r="A18" t="s">
        <v>270</v>
      </c>
      <c r="B18" t="s">
        <v>169</v>
      </c>
      <c r="D18" t="s">
        <v>169</v>
      </c>
      <c r="G18" s="190" t="s">
        <v>52</v>
      </c>
      <c r="H18" s="1">
        <v>6</v>
      </c>
      <c r="I18" s="1">
        <v>5</v>
      </c>
      <c r="J18" t="s">
        <v>333</v>
      </c>
    </row>
    <row r="19" spans="1:13" x14ac:dyDescent="0.3">
      <c r="A19" t="s">
        <v>269</v>
      </c>
      <c r="B19" t="s">
        <v>168</v>
      </c>
      <c r="D19" t="s">
        <v>168</v>
      </c>
      <c r="G19" s="190" t="s">
        <v>308</v>
      </c>
      <c r="H19" s="1">
        <v>4</v>
      </c>
      <c r="I19" s="1">
        <v>3</v>
      </c>
      <c r="J19" t="s">
        <v>296</v>
      </c>
      <c r="K19" t="s">
        <v>257</v>
      </c>
    </row>
    <row r="20" spans="1:13" x14ac:dyDescent="0.3">
      <c r="G20" s="190" t="s">
        <v>332</v>
      </c>
      <c r="H20" s="1">
        <v>2</v>
      </c>
      <c r="I20" s="1">
        <v>1</v>
      </c>
      <c r="J20" t="s">
        <v>309</v>
      </c>
      <c r="K20" t="s">
        <v>334</v>
      </c>
    </row>
    <row r="21" spans="1:13" x14ac:dyDescent="0.3">
      <c r="A21" t="s">
        <v>283</v>
      </c>
      <c r="B21" t="s">
        <v>52</v>
      </c>
      <c r="C21" t="s">
        <v>52</v>
      </c>
      <c r="D21" t="s">
        <v>52</v>
      </c>
    </row>
    <row r="22" spans="1:13" x14ac:dyDescent="0.3">
      <c r="A22" t="s">
        <v>284</v>
      </c>
      <c r="B22" t="s">
        <v>306</v>
      </c>
      <c r="C22" t="s">
        <v>306</v>
      </c>
      <c r="D22" t="s">
        <v>306</v>
      </c>
    </row>
    <row r="23" spans="1:13" x14ac:dyDescent="0.3">
      <c r="A23" t="s">
        <v>285</v>
      </c>
    </row>
    <row r="24" spans="1:13" x14ac:dyDescent="0.3">
      <c r="A24" t="s">
        <v>286</v>
      </c>
      <c r="B24" t="s">
        <v>296</v>
      </c>
      <c r="C24" t="s">
        <v>296</v>
      </c>
      <c r="D24" t="s">
        <v>296</v>
      </c>
      <c r="L24" t="s">
        <v>296</v>
      </c>
      <c r="M24">
        <v>13</v>
      </c>
    </row>
    <row r="25" spans="1:13" x14ac:dyDescent="0.3">
      <c r="A25" t="s">
        <v>287</v>
      </c>
      <c r="B25" t="s">
        <v>308</v>
      </c>
      <c r="C25" t="s">
        <v>308</v>
      </c>
      <c r="D25" t="s">
        <v>308</v>
      </c>
      <c r="L25" t="s">
        <v>308</v>
      </c>
      <c r="M25">
        <v>11</v>
      </c>
    </row>
    <row r="26" spans="1:13" x14ac:dyDescent="0.3">
      <c r="A26" t="s">
        <v>288</v>
      </c>
      <c r="B26" t="s">
        <v>309</v>
      </c>
      <c r="C26" t="s">
        <v>309</v>
      </c>
      <c r="D26" t="s">
        <v>309</v>
      </c>
      <c r="L26" t="s">
        <v>309</v>
      </c>
      <c r="M26">
        <v>12</v>
      </c>
    </row>
    <row r="28" spans="1:13" x14ac:dyDescent="0.3">
      <c r="A28" t="s">
        <v>289</v>
      </c>
      <c r="B28" t="s">
        <v>302</v>
      </c>
      <c r="D28" t="s">
        <v>302</v>
      </c>
    </row>
    <row r="29" spans="1:13" x14ac:dyDescent="0.3">
      <c r="A29" t="s">
        <v>290</v>
      </c>
      <c r="B29" t="s">
        <v>303</v>
      </c>
      <c r="D29" t="s">
        <v>303</v>
      </c>
    </row>
    <row r="30" spans="1:13" x14ac:dyDescent="0.3">
      <c r="A30" t="s">
        <v>291</v>
      </c>
    </row>
    <row r="31" spans="1:13" x14ac:dyDescent="0.3">
      <c r="A31" t="s">
        <v>292</v>
      </c>
    </row>
    <row r="32" spans="1:13" x14ac:dyDescent="0.3">
      <c r="A32" t="s">
        <v>293</v>
      </c>
    </row>
    <row r="33" spans="1:4" x14ac:dyDescent="0.3">
      <c r="A33" t="s">
        <v>294</v>
      </c>
    </row>
    <row r="34" spans="1:4" x14ac:dyDescent="0.3">
      <c r="A34" t="s">
        <v>295</v>
      </c>
    </row>
    <row r="37" spans="1:4" x14ac:dyDescent="0.3">
      <c r="B37" t="s">
        <v>324</v>
      </c>
      <c r="C37" t="s">
        <v>325</v>
      </c>
      <c r="D37" t="s">
        <v>326</v>
      </c>
    </row>
    <row r="38" spans="1:4" x14ac:dyDescent="0.3">
      <c r="C38" t="s">
        <v>327</v>
      </c>
      <c r="D38" t="s">
        <v>327</v>
      </c>
    </row>
    <row r="39" spans="1:4" x14ac:dyDescent="0.3">
      <c r="C39" t="s">
        <v>328</v>
      </c>
      <c r="D39" t="s">
        <v>328</v>
      </c>
    </row>
    <row r="40" spans="1:4" x14ac:dyDescent="0.3">
      <c r="C40" t="s">
        <v>329</v>
      </c>
      <c r="D40" t="s">
        <v>329</v>
      </c>
    </row>
    <row r="41" spans="1:4" x14ac:dyDescent="0.3">
      <c r="C41" t="s">
        <v>330</v>
      </c>
      <c r="D41" t="s">
        <v>331</v>
      </c>
    </row>
  </sheetData>
  <sortState xmlns:xlrd2="http://schemas.microsoft.com/office/spreadsheetml/2017/richdata2" ref="A6:D19">
    <sortCondition descending="1" ref="D6:D19"/>
  </sortState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3D31-BC0A-4757-9B31-D703758BF45C}">
  <dimension ref="B1:T45"/>
  <sheetViews>
    <sheetView workbookViewId="0">
      <selection sqref="A1:XFD1048576"/>
    </sheetView>
  </sheetViews>
  <sheetFormatPr defaultRowHeight="14.4" x14ac:dyDescent="0.3"/>
  <cols>
    <col min="2" max="2" width="14.109375" customWidth="1"/>
    <col min="9" max="16" width="3.6640625" customWidth="1"/>
  </cols>
  <sheetData>
    <row r="1" spans="2:20" x14ac:dyDescent="0.3">
      <c r="I1" t="s">
        <v>366</v>
      </c>
    </row>
    <row r="2" spans="2:20" x14ac:dyDescent="0.3">
      <c r="C2" t="s">
        <v>367</v>
      </c>
      <c r="D2" t="s">
        <v>367</v>
      </c>
      <c r="E2" t="s">
        <v>368</v>
      </c>
      <c r="F2" t="s">
        <v>367</v>
      </c>
      <c r="G2" t="s">
        <v>367</v>
      </c>
      <c r="I2" s="1">
        <v>7</v>
      </c>
      <c r="J2" s="1">
        <v>6</v>
      </c>
      <c r="K2" s="1">
        <v>5</v>
      </c>
      <c r="L2" s="1">
        <v>4</v>
      </c>
      <c r="M2" s="1">
        <v>3</v>
      </c>
      <c r="N2" s="1">
        <v>2</v>
      </c>
      <c r="O2" s="1">
        <v>1</v>
      </c>
      <c r="P2" s="1">
        <v>0</v>
      </c>
    </row>
    <row r="3" spans="2:20" x14ac:dyDescent="0.3">
      <c r="H3" s="190" t="s">
        <v>369</v>
      </c>
      <c r="I3" s="1"/>
      <c r="J3" s="1" t="s">
        <v>370</v>
      </c>
      <c r="K3" s="1" t="s">
        <v>370</v>
      </c>
      <c r="L3" s="1" t="s">
        <v>370</v>
      </c>
      <c r="M3" s="1" t="s">
        <v>370</v>
      </c>
      <c r="N3" s="1" t="s">
        <v>370</v>
      </c>
      <c r="O3" s="1" t="s">
        <v>370</v>
      </c>
      <c r="P3" s="222" t="s">
        <v>370</v>
      </c>
      <c r="Q3" s="1" t="s">
        <v>367</v>
      </c>
      <c r="S3" s="1" t="s">
        <v>371</v>
      </c>
      <c r="T3" s="1" t="s">
        <v>372</v>
      </c>
    </row>
    <row r="4" spans="2:20" x14ac:dyDescent="0.3">
      <c r="B4" s="3" t="s">
        <v>373</v>
      </c>
      <c r="C4" t="s">
        <v>374</v>
      </c>
      <c r="D4" t="s">
        <v>367</v>
      </c>
      <c r="H4" s="190" t="s">
        <v>375</v>
      </c>
      <c r="I4" s="1"/>
      <c r="J4" s="1" t="s">
        <v>370</v>
      </c>
      <c r="K4" s="1" t="s">
        <v>370</v>
      </c>
      <c r="L4" s="1" t="s">
        <v>370</v>
      </c>
      <c r="M4" s="1" t="s">
        <v>370</v>
      </c>
      <c r="N4" s="1" t="s">
        <v>370</v>
      </c>
      <c r="O4" s="1" t="s">
        <v>370</v>
      </c>
      <c r="P4" s="222" t="s">
        <v>370</v>
      </c>
      <c r="Q4" s="1" t="s">
        <v>367</v>
      </c>
      <c r="S4" s="1" t="s">
        <v>376</v>
      </c>
      <c r="T4" s="1" t="s">
        <v>377</v>
      </c>
    </row>
    <row r="5" spans="2:20" x14ac:dyDescent="0.3">
      <c r="B5" s="3" t="s">
        <v>373</v>
      </c>
      <c r="C5" t="s">
        <v>378</v>
      </c>
      <c r="D5" t="s">
        <v>379</v>
      </c>
      <c r="H5" s="190" t="s">
        <v>380</v>
      </c>
      <c r="I5" s="1"/>
      <c r="J5" s="223" t="s">
        <v>381</v>
      </c>
      <c r="K5" s="223"/>
      <c r="L5" s="223" t="s">
        <v>381</v>
      </c>
      <c r="M5" s="223" t="s">
        <v>381</v>
      </c>
      <c r="N5" s="223" t="s">
        <v>381</v>
      </c>
      <c r="O5" s="223" t="s">
        <v>381</v>
      </c>
      <c r="P5" s="222" t="s">
        <v>381</v>
      </c>
      <c r="Q5" s="1" t="s">
        <v>368</v>
      </c>
      <c r="S5" s="1" t="s">
        <v>382</v>
      </c>
      <c r="T5" s="1" t="s">
        <v>383</v>
      </c>
    </row>
    <row r="6" spans="2:20" x14ac:dyDescent="0.3">
      <c r="B6" s="3" t="s">
        <v>384</v>
      </c>
      <c r="C6" t="s">
        <v>385</v>
      </c>
      <c r="D6" t="s">
        <v>367</v>
      </c>
      <c r="H6" s="190" t="s">
        <v>386</v>
      </c>
      <c r="I6" s="1"/>
      <c r="J6" s="1" t="s">
        <v>370</v>
      </c>
      <c r="K6" s="1" t="s">
        <v>370</v>
      </c>
      <c r="L6" s="1" t="s">
        <v>370</v>
      </c>
      <c r="M6" s="1" t="s">
        <v>370</v>
      </c>
      <c r="N6" s="1" t="s">
        <v>370</v>
      </c>
      <c r="O6" s="1" t="s">
        <v>370</v>
      </c>
      <c r="P6" s="222" t="s">
        <v>370</v>
      </c>
      <c r="Q6" s="1" t="s">
        <v>367</v>
      </c>
      <c r="S6" s="1" t="s">
        <v>387</v>
      </c>
      <c r="T6" s="1" t="s">
        <v>388</v>
      </c>
    </row>
    <row r="7" spans="2:20" x14ac:dyDescent="0.3">
      <c r="B7" s="3" t="s">
        <v>373</v>
      </c>
      <c r="C7" t="s">
        <v>389</v>
      </c>
      <c r="D7" t="s">
        <v>379</v>
      </c>
      <c r="H7" s="190" t="s">
        <v>390</v>
      </c>
      <c r="I7" s="1"/>
      <c r="J7" s="1" t="s">
        <v>370</v>
      </c>
      <c r="K7" s="1" t="s">
        <v>370</v>
      </c>
      <c r="L7" s="1" t="s">
        <v>370</v>
      </c>
      <c r="M7" s="1" t="s">
        <v>370</v>
      </c>
      <c r="N7" s="1" t="s">
        <v>370</v>
      </c>
      <c r="O7" s="1" t="s">
        <v>370</v>
      </c>
      <c r="P7" s="222" t="s">
        <v>370</v>
      </c>
      <c r="Q7" s="1" t="s">
        <v>367</v>
      </c>
      <c r="S7" s="1" t="s">
        <v>391</v>
      </c>
      <c r="T7" s="1" t="s">
        <v>392</v>
      </c>
    </row>
    <row r="8" spans="2:20" x14ac:dyDescent="0.3">
      <c r="B8" s="3" t="s">
        <v>373</v>
      </c>
      <c r="C8" t="s">
        <v>393</v>
      </c>
      <c r="D8" t="s">
        <v>379</v>
      </c>
      <c r="H8" s="190" t="s">
        <v>394</v>
      </c>
      <c r="I8" s="1"/>
      <c r="J8" s="1"/>
      <c r="K8" s="1"/>
      <c r="L8" s="1"/>
      <c r="M8" s="1"/>
      <c r="N8" s="1"/>
      <c r="O8" s="1"/>
      <c r="P8" s="1"/>
    </row>
    <row r="9" spans="2:20" x14ac:dyDescent="0.3">
      <c r="C9" t="s">
        <v>395</v>
      </c>
      <c r="D9" t="s">
        <v>379</v>
      </c>
      <c r="H9" s="190" t="s">
        <v>396</v>
      </c>
      <c r="I9" s="1"/>
      <c r="J9" s="1"/>
      <c r="K9" s="1"/>
      <c r="L9" s="1"/>
      <c r="M9" s="1"/>
      <c r="N9" s="1"/>
      <c r="O9" s="1"/>
      <c r="P9" s="1"/>
    </row>
    <row r="10" spans="2:20" x14ac:dyDescent="0.3">
      <c r="C10" t="s">
        <v>397</v>
      </c>
      <c r="D10" t="s">
        <v>379</v>
      </c>
      <c r="H10" s="190" t="s">
        <v>398</v>
      </c>
      <c r="I10" s="1"/>
      <c r="J10" s="1"/>
      <c r="K10" s="1"/>
      <c r="L10" s="1"/>
      <c r="M10" s="1"/>
      <c r="N10" s="1"/>
      <c r="O10" s="1"/>
      <c r="P10" s="1"/>
      <c r="S10" s="1" t="s">
        <v>383</v>
      </c>
      <c r="T10" s="1" t="s">
        <v>382</v>
      </c>
    </row>
    <row r="11" spans="2:20" x14ac:dyDescent="0.3">
      <c r="C11" t="s">
        <v>399</v>
      </c>
      <c r="D11" t="s">
        <v>379</v>
      </c>
      <c r="S11" s="1" t="s">
        <v>400</v>
      </c>
      <c r="T11" s="1" t="s">
        <v>401</v>
      </c>
    </row>
    <row r="12" spans="2:20" x14ac:dyDescent="0.3">
      <c r="I12" t="s">
        <v>402</v>
      </c>
      <c r="S12" s="1" t="s">
        <v>403</v>
      </c>
      <c r="T12" s="1" t="s">
        <v>403</v>
      </c>
    </row>
    <row r="13" spans="2:20" x14ac:dyDescent="0.3">
      <c r="I13" s="1">
        <v>7</v>
      </c>
      <c r="J13" s="1">
        <v>6</v>
      </c>
      <c r="K13" s="1">
        <v>5</v>
      </c>
      <c r="L13" s="1">
        <v>4</v>
      </c>
      <c r="M13" s="1">
        <v>3</v>
      </c>
      <c r="N13" s="1">
        <v>2</v>
      </c>
      <c r="O13" s="1">
        <v>1</v>
      </c>
      <c r="P13" s="1">
        <v>0</v>
      </c>
      <c r="S13" s="1" t="s">
        <v>404</v>
      </c>
      <c r="T13" s="1" t="s">
        <v>405</v>
      </c>
    </row>
    <row r="14" spans="2:20" x14ac:dyDescent="0.3">
      <c r="H14" s="190" t="s">
        <v>406</v>
      </c>
      <c r="L14" s="222" t="s">
        <v>370</v>
      </c>
      <c r="M14" s="222" t="s">
        <v>370</v>
      </c>
      <c r="N14" s="222" t="s">
        <v>381</v>
      </c>
      <c r="O14" s="222" t="s">
        <v>370</v>
      </c>
      <c r="P14" s="222" t="s">
        <v>370</v>
      </c>
      <c r="Q14" t="s">
        <v>379</v>
      </c>
      <c r="S14" s="1" t="s">
        <v>407</v>
      </c>
      <c r="T14" s="1" t="s">
        <v>408</v>
      </c>
    </row>
    <row r="15" spans="2:20" x14ac:dyDescent="0.3">
      <c r="H15" s="190" t="s">
        <v>409</v>
      </c>
      <c r="L15" s="1" t="s">
        <v>370</v>
      </c>
      <c r="M15" s="1" t="s">
        <v>370</v>
      </c>
      <c r="N15" s="223" t="s">
        <v>381</v>
      </c>
      <c r="O15" s="1" t="s">
        <v>370</v>
      </c>
      <c r="P15" s="1" t="s">
        <v>370</v>
      </c>
      <c r="Q15" t="s">
        <v>379</v>
      </c>
      <c r="S15" s="1" t="s">
        <v>410</v>
      </c>
      <c r="T15" s="1" t="s">
        <v>411</v>
      </c>
    </row>
    <row r="16" spans="2:20" x14ac:dyDescent="0.3">
      <c r="H16" s="190" t="s">
        <v>412</v>
      </c>
      <c r="L16" s="1" t="s">
        <v>370</v>
      </c>
      <c r="M16" s="1" t="s">
        <v>370</v>
      </c>
      <c r="N16" s="223" t="s">
        <v>381</v>
      </c>
      <c r="O16" s="1" t="s">
        <v>370</v>
      </c>
      <c r="P16" s="1" t="s">
        <v>370</v>
      </c>
      <c r="Q16" t="s">
        <v>379</v>
      </c>
      <c r="S16" s="1" t="s">
        <v>413</v>
      </c>
      <c r="T16" s="1" t="s">
        <v>414</v>
      </c>
    </row>
    <row r="17" spans="8:20" x14ac:dyDescent="0.3">
      <c r="H17" s="190" t="s">
        <v>415</v>
      </c>
      <c r="L17" s="1" t="s">
        <v>370</v>
      </c>
      <c r="M17" s="1" t="s">
        <v>370</v>
      </c>
      <c r="N17" s="223" t="s">
        <v>381</v>
      </c>
      <c r="O17" s="1" t="s">
        <v>370</v>
      </c>
      <c r="P17" s="1" t="s">
        <v>370</v>
      </c>
      <c r="Q17" t="s">
        <v>379</v>
      </c>
      <c r="S17" s="1" t="s">
        <v>416</v>
      </c>
      <c r="T17" s="1" t="s">
        <v>417</v>
      </c>
    </row>
    <row r="18" spans="8:20" x14ac:dyDescent="0.3">
      <c r="H18" s="190" t="s">
        <v>418</v>
      </c>
      <c r="L18" s="1" t="s">
        <v>370</v>
      </c>
      <c r="M18" s="1" t="s">
        <v>370</v>
      </c>
      <c r="N18" s="223" t="s">
        <v>381</v>
      </c>
      <c r="O18" s="1" t="s">
        <v>370</v>
      </c>
      <c r="P18" s="1" t="s">
        <v>370</v>
      </c>
      <c r="Q18" t="s">
        <v>379</v>
      </c>
    </row>
    <row r="19" spans="8:20" x14ac:dyDescent="0.3">
      <c r="H19" s="190" t="s">
        <v>419</v>
      </c>
      <c r="L19" s="1" t="s">
        <v>370</v>
      </c>
      <c r="M19" s="1" t="s">
        <v>370</v>
      </c>
      <c r="N19" s="223" t="s">
        <v>370</v>
      </c>
      <c r="O19" s="1" t="s">
        <v>370</v>
      </c>
      <c r="P19" s="1" t="s">
        <v>370</v>
      </c>
      <c r="Q19" t="s">
        <v>379</v>
      </c>
    </row>
    <row r="20" spans="8:20" x14ac:dyDescent="0.3">
      <c r="H20" s="190" t="s">
        <v>420</v>
      </c>
      <c r="L20" s="1" t="s">
        <v>370</v>
      </c>
      <c r="M20" s="1" t="s">
        <v>370</v>
      </c>
      <c r="N20" s="223" t="s">
        <v>381</v>
      </c>
      <c r="O20" s="1" t="s">
        <v>370</v>
      </c>
      <c r="P20" s="1" t="s">
        <v>370</v>
      </c>
      <c r="Q20" t="s">
        <v>379</v>
      </c>
    </row>
    <row r="21" spans="8:20" x14ac:dyDescent="0.3">
      <c r="H21" s="190" t="s">
        <v>421</v>
      </c>
      <c r="I21" s="1"/>
      <c r="J21" s="1"/>
      <c r="K21" s="1"/>
      <c r="L21" s="1"/>
      <c r="M21" s="1"/>
      <c r="N21" s="1"/>
      <c r="O21" s="1"/>
      <c r="P21" s="1"/>
    </row>
    <row r="24" spans="8:20" x14ac:dyDescent="0.3">
      <c r="I24" s="1">
        <v>0</v>
      </c>
      <c r="J24" s="1">
        <v>1</v>
      </c>
      <c r="K24" s="1">
        <v>2</v>
      </c>
      <c r="L24" s="1">
        <v>3</v>
      </c>
      <c r="M24" s="1">
        <v>4</v>
      </c>
      <c r="N24" s="1">
        <v>5</v>
      </c>
      <c r="O24" s="1">
        <v>6</v>
      </c>
      <c r="P24" s="1">
        <v>7</v>
      </c>
    </row>
    <row r="25" spans="8:20" x14ac:dyDescent="0.3">
      <c r="H25" s="190" t="s">
        <v>369</v>
      </c>
      <c r="I25" s="1" t="s">
        <v>370</v>
      </c>
      <c r="J25" s="1" t="s">
        <v>370</v>
      </c>
      <c r="K25" s="1" t="s">
        <v>381</v>
      </c>
      <c r="L25" s="1" t="s">
        <v>370</v>
      </c>
      <c r="M25" s="1" t="s">
        <v>370</v>
      </c>
      <c r="N25" s="1"/>
      <c r="O25" s="1"/>
      <c r="P25" s="1"/>
      <c r="Q25" s="1" t="s">
        <v>379</v>
      </c>
    </row>
    <row r="26" spans="8:20" x14ac:dyDescent="0.3">
      <c r="H26" s="190" t="s">
        <v>375</v>
      </c>
      <c r="I26" s="1" t="s">
        <v>370</v>
      </c>
      <c r="J26" s="1" t="s">
        <v>381</v>
      </c>
      <c r="K26" s="1" t="s">
        <v>381</v>
      </c>
      <c r="L26" s="1" t="s">
        <v>370</v>
      </c>
      <c r="M26" s="1" t="s">
        <v>370</v>
      </c>
      <c r="N26" s="1"/>
      <c r="O26" s="1"/>
      <c r="P26" s="1"/>
      <c r="Q26" s="1" t="s">
        <v>422</v>
      </c>
    </row>
    <row r="27" spans="8:20" x14ac:dyDescent="0.3">
      <c r="H27" s="190" t="s">
        <v>380</v>
      </c>
      <c r="I27" s="1" t="s">
        <v>370</v>
      </c>
      <c r="J27" s="1" t="s">
        <v>370</v>
      </c>
      <c r="K27" s="1" t="s">
        <v>381</v>
      </c>
      <c r="L27" s="1" t="s">
        <v>370</v>
      </c>
      <c r="M27" s="1" t="s">
        <v>370</v>
      </c>
      <c r="N27" s="1"/>
      <c r="O27" s="1"/>
      <c r="P27" s="1"/>
      <c r="Q27" s="1" t="s">
        <v>379</v>
      </c>
    </row>
    <row r="28" spans="8:20" x14ac:dyDescent="0.3">
      <c r="H28" s="190" t="s">
        <v>386</v>
      </c>
      <c r="I28" s="1" t="s">
        <v>370</v>
      </c>
      <c r="J28" s="1" t="s">
        <v>370</v>
      </c>
      <c r="K28" s="1" t="s">
        <v>381</v>
      </c>
      <c r="L28" s="1" t="s">
        <v>370</v>
      </c>
      <c r="M28" s="1" t="s">
        <v>370</v>
      </c>
      <c r="N28" s="1"/>
      <c r="O28" s="1"/>
      <c r="P28" s="1"/>
      <c r="Q28" s="1" t="s">
        <v>379</v>
      </c>
    </row>
    <row r="29" spans="8:20" x14ac:dyDescent="0.3">
      <c r="H29" s="190" t="s">
        <v>390</v>
      </c>
      <c r="I29" s="1" t="s">
        <v>370</v>
      </c>
      <c r="J29" s="1" t="s">
        <v>370</v>
      </c>
      <c r="K29" s="1" t="s">
        <v>381</v>
      </c>
      <c r="L29" s="1" t="s">
        <v>370</v>
      </c>
      <c r="M29" s="1" t="s">
        <v>370</v>
      </c>
      <c r="N29" s="1"/>
      <c r="O29" s="1"/>
      <c r="P29" s="1"/>
      <c r="Q29" s="1" t="s">
        <v>379</v>
      </c>
    </row>
    <row r="30" spans="8:20" x14ac:dyDescent="0.3">
      <c r="H30" s="190" t="s">
        <v>394</v>
      </c>
      <c r="I30" s="1" t="s">
        <v>370</v>
      </c>
      <c r="J30" s="1" t="s">
        <v>370</v>
      </c>
      <c r="K30" s="1" t="s">
        <v>381</v>
      </c>
      <c r="L30" s="1" t="s">
        <v>370</v>
      </c>
      <c r="M30" s="1" t="s">
        <v>370</v>
      </c>
      <c r="N30" s="1"/>
      <c r="O30" s="1"/>
      <c r="P30" s="1"/>
      <c r="Q30" s="1" t="s">
        <v>379</v>
      </c>
    </row>
    <row r="31" spans="8:20" x14ac:dyDescent="0.3">
      <c r="H31" s="190" t="s">
        <v>396</v>
      </c>
      <c r="I31" s="1" t="s">
        <v>370</v>
      </c>
      <c r="J31" s="1" t="s">
        <v>381</v>
      </c>
      <c r="K31" s="1" t="s">
        <v>381</v>
      </c>
      <c r="L31" s="1" t="s">
        <v>381</v>
      </c>
      <c r="M31" s="1" t="s">
        <v>370</v>
      </c>
      <c r="N31" s="1"/>
      <c r="O31" s="1"/>
      <c r="P31" s="1"/>
      <c r="Q31" s="1" t="s">
        <v>423</v>
      </c>
    </row>
    <row r="32" spans="8:20" x14ac:dyDescent="0.3">
      <c r="H32" s="190" t="s">
        <v>398</v>
      </c>
      <c r="I32" s="1"/>
      <c r="J32" s="1"/>
      <c r="K32" s="1"/>
      <c r="L32" s="1"/>
      <c r="M32" s="1"/>
      <c r="N32" s="1"/>
      <c r="O32" s="1"/>
      <c r="P32" s="1"/>
    </row>
    <row r="33" spans="6:19" x14ac:dyDescent="0.3">
      <c r="I33" s="1"/>
      <c r="J33" s="1"/>
      <c r="K33" s="1"/>
      <c r="L33" s="1"/>
      <c r="M33" s="1"/>
      <c r="N33" s="1"/>
      <c r="O33" s="1"/>
      <c r="P33" s="1"/>
    </row>
    <row r="34" spans="6:19" x14ac:dyDescent="0.3">
      <c r="I34" s="1" t="s">
        <v>402</v>
      </c>
      <c r="J34" s="1"/>
      <c r="K34" s="1"/>
      <c r="L34" s="1"/>
      <c r="M34" s="1"/>
      <c r="N34" s="1"/>
      <c r="O34" s="1"/>
      <c r="P34" s="1"/>
    </row>
    <row r="35" spans="6:19" x14ac:dyDescent="0.3">
      <c r="I35" s="1">
        <v>0</v>
      </c>
      <c r="J35" s="1">
        <v>1</v>
      </c>
      <c r="K35" s="1">
        <v>2</v>
      </c>
      <c r="L35" s="1">
        <v>3</v>
      </c>
      <c r="M35" s="1">
        <v>4</v>
      </c>
      <c r="N35" s="1">
        <v>5</v>
      </c>
      <c r="O35" s="1">
        <v>6</v>
      </c>
      <c r="P35" s="1">
        <v>7</v>
      </c>
      <c r="R35" t="s">
        <v>372</v>
      </c>
      <c r="S35" t="s">
        <v>372</v>
      </c>
    </row>
    <row r="36" spans="6:19" x14ac:dyDescent="0.3">
      <c r="H36" s="190" t="s">
        <v>406</v>
      </c>
      <c r="I36" s="1" t="s">
        <v>370</v>
      </c>
      <c r="J36" s="1" t="s">
        <v>370</v>
      </c>
      <c r="K36" s="1" t="s">
        <v>370</v>
      </c>
      <c r="L36" s="1" t="s">
        <v>370</v>
      </c>
      <c r="M36" s="1" t="s">
        <v>370</v>
      </c>
      <c r="N36" s="1" t="s">
        <v>370</v>
      </c>
      <c r="O36" s="1" t="s">
        <v>370</v>
      </c>
      <c r="P36" s="1"/>
      <c r="Q36" t="s">
        <v>379</v>
      </c>
      <c r="R36" s="1" t="s">
        <v>376</v>
      </c>
      <c r="S36" s="1" t="s">
        <v>377</v>
      </c>
    </row>
    <row r="37" spans="6:19" x14ac:dyDescent="0.3">
      <c r="H37" s="190" t="s">
        <v>409</v>
      </c>
      <c r="I37" s="1" t="s">
        <v>370</v>
      </c>
      <c r="J37" s="1" t="s">
        <v>381</v>
      </c>
      <c r="K37" s="1" t="s">
        <v>370</v>
      </c>
      <c r="L37" s="1" t="s">
        <v>370</v>
      </c>
      <c r="M37" s="1" t="s">
        <v>370</v>
      </c>
      <c r="N37" s="1" t="s">
        <v>370</v>
      </c>
      <c r="O37" s="1" t="s">
        <v>381</v>
      </c>
      <c r="P37" s="1"/>
      <c r="Q37" t="s">
        <v>379</v>
      </c>
      <c r="R37" s="1" t="s">
        <v>382</v>
      </c>
      <c r="S37" s="1" t="s">
        <v>383</v>
      </c>
    </row>
    <row r="38" spans="6:19" x14ac:dyDescent="0.3">
      <c r="H38" s="190" t="s">
        <v>412</v>
      </c>
      <c r="I38" s="1" t="s">
        <v>381</v>
      </c>
      <c r="J38" s="1" t="s">
        <v>381</v>
      </c>
      <c r="K38" s="1" t="s">
        <v>381</v>
      </c>
      <c r="L38" s="1" t="s">
        <v>381</v>
      </c>
      <c r="M38" s="1" t="s">
        <v>381</v>
      </c>
      <c r="N38" s="1" t="s">
        <v>381</v>
      </c>
      <c r="O38" s="1" t="s">
        <v>381</v>
      </c>
      <c r="P38" s="1"/>
      <c r="Q38" t="s">
        <v>379</v>
      </c>
    </row>
    <row r="39" spans="6:19" x14ac:dyDescent="0.3">
      <c r="H39" s="190" t="s">
        <v>415</v>
      </c>
      <c r="I39" s="1" t="s">
        <v>370</v>
      </c>
      <c r="J39" s="1" t="s">
        <v>370</v>
      </c>
      <c r="K39" s="1" t="s">
        <v>370</v>
      </c>
      <c r="L39" s="1" t="s">
        <v>370</v>
      </c>
      <c r="M39" s="1" t="s">
        <v>370</v>
      </c>
      <c r="N39" s="1" t="s">
        <v>370</v>
      </c>
      <c r="O39" s="1" t="s">
        <v>381</v>
      </c>
      <c r="P39" s="1"/>
      <c r="Q39" t="s">
        <v>379</v>
      </c>
    </row>
    <row r="40" spans="6:19" x14ac:dyDescent="0.3">
      <c r="H40" s="190" t="s">
        <v>418</v>
      </c>
      <c r="I40" s="1" t="s">
        <v>370</v>
      </c>
      <c r="J40" s="1" t="s">
        <v>370</v>
      </c>
      <c r="K40" s="1" t="s">
        <v>370</v>
      </c>
      <c r="L40" s="1" t="s">
        <v>370</v>
      </c>
      <c r="M40" s="1" t="s">
        <v>370</v>
      </c>
      <c r="N40" s="1" t="s">
        <v>370</v>
      </c>
      <c r="O40" s="1" t="s">
        <v>370</v>
      </c>
      <c r="P40" s="1"/>
      <c r="Q40" t="s">
        <v>379</v>
      </c>
    </row>
    <row r="41" spans="6:19" x14ac:dyDescent="0.3">
      <c r="H41" s="190" t="s">
        <v>419</v>
      </c>
      <c r="I41" s="1"/>
      <c r="J41" s="1"/>
      <c r="K41" s="1"/>
      <c r="L41" s="1"/>
      <c r="M41" s="1"/>
      <c r="N41" s="1"/>
      <c r="O41" s="1"/>
      <c r="P41" s="1"/>
      <c r="Q41" t="s">
        <v>379</v>
      </c>
    </row>
    <row r="42" spans="6:19" x14ac:dyDescent="0.3">
      <c r="H42" s="190" t="s">
        <v>420</v>
      </c>
      <c r="I42" s="1"/>
      <c r="J42" s="1"/>
      <c r="K42" s="1"/>
      <c r="L42" s="1"/>
      <c r="M42" s="1"/>
      <c r="N42" s="1"/>
      <c r="O42" s="1"/>
      <c r="P42" s="1"/>
      <c r="Q42" t="s">
        <v>379</v>
      </c>
    </row>
    <row r="43" spans="6:19" x14ac:dyDescent="0.3">
      <c r="H43" s="190" t="s">
        <v>421</v>
      </c>
      <c r="I43" s="1"/>
      <c r="J43" s="1"/>
      <c r="K43" s="1"/>
      <c r="L43" s="1"/>
      <c r="M43" s="1"/>
      <c r="N43" s="1"/>
      <c r="O43" s="1"/>
      <c r="P43" s="1"/>
    </row>
    <row r="45" spans="6:19" x14ac:dyDescent="0.3">
      <c r="F45" t="s">
        <v>424</v>
      </c>
      <c r="G45">
        <v>10100101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935C-360E-40ED-84E7-4C6D5A00E785}">
  <dimension ref="A1:Y132"/>
  <sheetViews>
    <sheetView tabSelected="1" topLeftCell="B1" workbookViewId="0">
      <selection activeCell="M10" sqref="M10"/>
    </sheetView>
  </sheetViews>
  <sheetFormatPr defaultRowHeight="14.4" x14ac:dyDescent="0.3"/>
  <cols>
    <col min="1" max="1" width="6.44140625" style="8" customWidth="1"/>
    <col min="2" max="2" width="6.109375" customWidth="1"/>
    <col min="3" max="3" width="6.109375" style="224" customWidth="1"/>
    <col min="4" max="8" width="5.44140625" customWidth="1"/>
    <col min="9" max="9" width="7.6640625" style="1" customWidth="1"/>
    <col min="18" max="23" width="3" style="1" customWidth="1"/>
    <col min="25" max="25" width="42.5546875" customWidth="1"/>
  </cols>
  <sheetData>
    <row r="1" spans="1:25" x14ac:dyDescent="0.3">
      <c r="I1" s="1">
        <v>48</v>
      </c>
      <c r="J1" s="1" t="str">
        <f>ADDRESS($I1+4,10)</f>
        <v>$J$52</v>
      </c>
      <c r="K1" s="1" t="str">
        <f>ADDRESS($I1+4,11)</f>
        <v>$K$52</v>
      </c>
      <c r="L1" s="1" t="str">
        <f>ADDRESS($I1+4,12)</f>
        <v>$L$52</v>
      </c>
      <c r="M1" s="1" t="str">
        <f>ADDRESS($I1+4,13)</f>
        <v>$M$52</v>
      </c>
      <c r="N1" s="1" t="str">
        <f>ADDRESS($I1+4,14)</f>
        <v>$N$52</v>
      </c>
      <c r="O1" s="1" t="str">
        <f>ADDRESS($I1+4,15)</f>
        <v>$O$52</v>
      </c>
    </row>
    <row r="2" spans="1:25" x14ac:dyDescent="0.3">
      <c r="J2" t="str">
        <f t="shared" ref="J2:O2" ca="1" si="0">REPT("0",8-LEN(INDIRECT(J1)))&amp;INDIRECT(J1)</f>
        <v>00000000</v>
      </c>
      <c r="K2" t="str">
        <f t="shared" ca="1" si="0"/>
        <v>00111110</v>
      </c>
      <c r="L2" t="str">
        <f t="shared" ca="1" si="0"/>
        <v>01010001</v>
      </c>
      <c r="M2" t="str">
        <f t="shared" ca="1" si="0"/>
        <v>01001001</v>
      </c>
      <c r="N2" t="str">
        <f t="shared" ca="1" si="0"/>
        <v>01000101</v>
      </c>
      <c r="O2" t="str">
        <f t="shared" ca="1" si="0"/>
        <v>00111110</v>
      </c>
    </row>
    <row r="3" spans="1:25" ht="15" thickBot="1" x14ac:dyDescent="0.35">
      <c r="J3" t="s">
        <v>369</v>
      </c>
      <c r="K3" t="s">
        <v>375</v>
      </c>
      <c r="L3" t="s">
        <v>380</v>
      </c>
      <c r="M3" t="s">
        <v>386</v>
      </c>
      <c r="N3" t="s">
        <v>390</v>
      </c>
      <c r="O3" t="s">
        <v>394</v>
      </c>
      <c r="Y3" t="s">
        <v>425</v>
      </c>
    </row>
    <row r="4" spans="1:25" ht="15" thickTop="1" x14ac:dyDescent="0.3">
      <c r="A4" s="8">
        <v>0</v>
      </c>
      <c r="B4" t="str">
        <f>"0x"&amp;DEC2HEX(A4)</f>
        <v>0x0</v>
      </c>
      <c r="C4" s="224" t="s">
        <v>426</v>
      </c>
      <c r="D4" t="s">
        <v>367</v>
      </c>
      <c r="E4" t="s">
        <v>367</v>
      </c>
      <c r="F4" t="s">
        <v>367</v>
      </c>
      <c r="G4" t="s">
        <v>367</v>
      </c>
      <c r="H4" t="s">
        <v>367</v>
      </c>
      <c r="I4" s="1" t="s">
        <v>427</v>
      </c>
      <c r="J4" t="s">
        <v>428</v>
      </c>
      <c r="K4" t="s">
        <v>428</v>
      </c>
      <c r="L4" t="s">
        <v>428</v>
      </c>
      <c r="M4" t="s">
        <v>428</v>
      </c>
      <c r="N4" t="s">
        <v>428</v>
      </c>
      <c r="O4" t="s">
        <v>428</v>
      </c>
      <c r="Q4">
        <v>8</v>
      </c>
      <c r="R4" s="193" t="str">
        <f t="shared" ref="R4:W11" ca="1" si="1">IF(MID(J$2,$Q4,1)="1",".","")</f>
        <v/>
      </c>
      <c r="S4" s="194" t="str">
        <f t="shared" ca="1" si="1"/>
        <v/>
      </c>
      <c r="T4" s="194" t="str">
        <f t="shared" ca="1" si="1"/>
        <v>.</v>
      </c>
      <c r="U4" s="194" t="str">
        <f t="shared" ca="1" si="1"/>
        <v>.</v>
      </c>
      <c r="V4" s="194" t="str">
        <f t="shared" ca="1" si="1"/>
        <v>.</v>
      </c>
      <c r="W4" s="191" t="str">
        <f t="shared" ca="1" si="1"/>
        <v/>
      </c>
      <c r="Y4" t="str">
        <f t="shared" ref="Y4:Y67" si="2">"{"  &amp; D4 &amp; "," &amp; E4 &amp; "," &amp; F4 &amp; "," &amp; G4 &amp; "," &amp; H4 &amp; "}, // "&amp; B4 &amp; "  '" &amp; C4&amp;"'"</f>
        <v>{0x00,0x00,0x00,0x00,0x00}, // 0x0  '#'</v>
      </c>
    </row>
    <row r="5" spans="1:25" x14ac:dyDescent="0.3">
      <c r="A5" s="8">
        <v>1</v>
      </c>
      <c r="B5" t="str">
        <f>"0x"&amp;DEC2HEX(A5)</f>
        <v>0x1</v>
      </c>
      <c r="C5" s="224" t="s">
        <v>429</v>
      </c>
      <c r="D5" t="s">
        <v>367</v>
      </c>
      <c r="E5" t="s">
        <v>367</v>
      </c>
      <c r="F5" t="s">
        <v>367</v>
      </c>
      <c r="G5" t="s">
        <v>367</v>
      </c>
      <c r="H5" t="s">
        <v>367</v>
      </c>
      <c r="I5" t="s">
        <v>430</v>
      </c>
      <c r="J5" t="s">
        <v>428</v>
      </c>
      <c r="K5" t="s">
        <v>428</v>
      </c>
      <c r="L5" t="s">
        <v>428</v>
      </c>
      <c r="M5" t="s">
        <v>428</v>
      </c>
      <c r="N5" t="s">
        <v>428</v>
      </c>
      <c r="O5" t="s">
        <v>428</v>
      </c>
      <c r="Q5">
        <v>7</v>
      </c>
      <c r="R5" s="195" t="str">
        <f t="shared" ca="1" si="1"/>
        <v/>
      </c>
      <c r="S5" s="1" t="str">
        <f t="shared" ca="1" si="1"/>
        <v>.</v>
      </c>
      <c r="T5" s="1" t="str">
        <f t="shared" ca="1" si="1"/>
        <v/>
      </c>
      <c r="U5" s="1" t="str">
        <f t="shared" ca="1" si="1"/>
        <v/>
      </c>
      <c r="V5" s="1" t="str">
        <f t="shared" ca="1" si="1"/>
        <v/>
      </c>
      <c r="W5" s="192" t="str">
        <f t="shared" ca="1" si="1"/>
        <v>.</v>
      </c>
      <c r="Y5" t="str">
        <f t="shared" si="2"/>
        <v>{0x00,0x00,0x00,0x00,0x00}, // 0x1  'SOH'</v>
      </c>
    </row>
    <row r="6" spans="1:25" x14ac:dyDescent="0.3">
      <c r="A6" s="8">
        <v>2</v>
      </c>
      <c r="B6" t="str">
        <f t="shared" ref="B6:B35" si="3">"0x"&amp;DEC2HEX(A6)</f>
        <v>0x2</v>
      </c>
      <c r="C6" s="224" t="s">
        <v>431</v>
      </c>
      <c r="D6" t="s">
        <v>367</v>
      </c>
      <c r="E6" t="s">
        <v>367</v>
      </c>
      <c r="F6" t="s">
        <v>367</v>
      </c>
      <c r="G6" t="s">
        <v>367</v>
      </c>
      <c r="H6" t="s">
        <v>367</v>
      </c>
      <c r="I6" t="s">
        <v>430</v>
      </c>
      <c r="J6" t="s">
        <v>428</v>
      </c>
      <c r="K6" t="s">
        <v>428</v>
      </c>
      <c r="L6" t="s">
        <v>428</v>
      </c>
      <c r="M6" t="s">
        <v>428</v>
      </c>
      <c r="N6" t="s">
        <v>428</v>
      </c>
      <c r="O6" t="s">
        <v>428</v>
      </c>
      <c r="Q6">
        <v>6</v>
      </c>
      <c r="R6" s="195" t="str">
        <f t="shared" ca="1" si="1"/>
        <v/>
      </c>
      <c r="S6" s="1" t="str">
        <f t="shared" ca="1" si="1"/>
        <v>.</v>
      </c>
      <c r="T6" s="1" t="str">
        <f t="shared" ca="1" si="1"/>
        <v/>
      </c>
      <c r="U6" s="1" t="str">
        <f t="shared" ca="1" si="1"/>
        <v/>
      </c>
      <c r="V6" s="1" t="str">
        <f t="shared" ca="1" si="1"/>
        <v>.</v>
      </c>
      <c r="W6" s="192" t="str">
        <f t="shared" ca="1" si="1"/>
        <v>.</v>
      </c>
      <c r="Y6" t="str">
        <f t="shared" si="2"/>
        <v>{0x00,0x00,0x00,0x00,0x00}, // 0x2  'STC'</v>
      </c>
    </row>
    <row r="7" spans="1:25" x14ac:dyDescent="0.3">
      <c r="A7" s="8">
        <v>3</v>
      </c>
      <c r="B7" t="str">
        <f t="shared" si="3"/>
        <v>0x3</v>
      </c>
      <c r="C7" s="224" t="s">
        <v>432</v>
      </c>
      <c r="D7" t="s">
        <v>367</v>
      </c>
      <c r="E7" t="s">
        <v>367</v>
      </c>
      <c r="F7" t="s">
        <v>367</v>
      </c>
      <c r="G7" t="s">
        <v>367</v>
      </c>
      <c r="H7" t="s">
        <v>367</v>
      </c>
      <c r="I7" t="s">
        <v>433</v>
      </c>
      <c r="J7" t="s">
        <v>428</v>
      </c>
      <c r="K7" t="s">
        <v>428</v>
      </c>
      <c r="L7" t="s">
        <v>428</v>
      </c>
      <c r="M7" t="s">
        <v>428</v>
      </c>
      <c r="N7" t="s">
        <v>428</v>
      </c>
      <c r="O7" t="s">
        <v>428</v>
      </c>
      <c r="Q7">
        <v>5</v>
      </c>
      <c r="R7" s="195" t="str">
        <f t="shared" ca="1" si="1"/>
        <v/>
      </c>
      <c r="S7" s="1" t="str">
        <f t="shared" ca="1" si="1"/>
        <v>.</v>
      </c>
      <c r="T7" s="1" t="str">
        <f t="shared" ca="1" si="1"/>
        <v/>
      </c>
      <c r="U7" s="1" t="str">
        <f t="shared" ca="1" si="1"/>
        <v>.</v>
      </c>
      <c r="V7" s="1" t="str">
        <f t="shared" ca="1" si="1"/>
        <v/>
      </c>
      <c r="W7" s="192" t="str">
        <f t="shared" ca="1" si="1"/>
        <v>.</v>
      </c>
      <c r="Y7" t="str">
        <f t="shared" si="2"/>
        <v>{0x00,0x00,0x00,0x00,0x00}, // 0x3  'ETX'</v>
      </c>
    </row>
    <row r="8" spans="1:25" x14ac:dyDescent="0.3">
      <c r="A8" s="8">
        <v>4</v>
      </c>
      <c r="B8" t="str">
        <f t="shared" si="3"/>
        <v>0x4</v>
      </c>
      <c r="C8" s="224" t="s">
        <v>434</v>
      </c>
      <c r="D8" t="s">
        <v>367</v>
      </c>
      <c r="E8" t="s">
        <v>367</v>
      </c>
      <c r="F8" t="s">
        <v>367</v>
      </c>
      <c r="G8" t="s">
        <v>367</v>
      </c>
      <c r="H8" t="s">
        <v>367</v>
      </c>
      <c r="I8" t="s">
        <v>435</v>
      </c>
      <c r="J8" t="s">
        <v>428</v>
      </c>
      <c r="K8" t="s">
        <v>428</v>
      </c>
      <c r="L8" t="s">
        <v>428</v>
      </c>
      <c r="M8" t="s">
        <v>428</v>
      </c>
      <c r="N8" t="s">
        <v>428</v>
      </c>
      <c r="O8" t="s">
        <v>428</v>
      </c>
      <c r="Q8">
        <v>4</v>
      </c>
      <c r="R8" s="195" t="str">
        <f t="shared" ca="1" si="1"/>
        <v/>
      </c>
      <c r="S8" s="1" t="str">
        <f t="shared" ca="1" si="1"/>
        <v>.</v>
      </c>
      <c r="T8" s="1" t="str">
        <f t="shared" ca="1" si="1"/>
        <v>.</v>
      </c>
      <c r="U8" s="1" t="str">
        <f t="shared" ca="1" si="1"/>
        <v/>
      </c>
      <c r="V8" s="1" t="str">
        <f t="shared" ca="1" si="1"/>
        <v/>
      </c>
      <c r="W8" s="192" t="str">
        <f t="shared" ca="1" si="1"/>
        <v>.</v>
      </c>
      <c r="Y8" t="str">
        <f t="shared" si="2"/>
        <v>{0x00,0x00,0x00,0x00,0x00}, // 0x4  'EOT'</v>
      </c>
    </row>
    <row r="9" spans="1:25" x14ac:dyDescent="0.3">
      <c r="A9" s="8">
        <v>5</v>
      </c>
      <c r="B9" t="str">
        <f t="shared" si="3"/>
        <v>0x5</v>
      </c>
      <c r="C9" s="224" t="s">
        <v>436</v>
      </c>
      <c r="D9" t="s">
        <v>367</v>
      </c>
      <c r="E9" t="s">
        <v>367</v>
      </c>
      <c r="F9" t="s">
        <v>367</v>
      </c>
      <c r="G9" t="s">
        <v>367</v>
      </c>
      <c r="H9" t="s">
        <v>367</v>
      </c>
      <c r="I9" t="s">
        <v>437</v>
      </c>
      <c r="J9" t="s">
        <v>428</v>
      </c>
      <c r="K9" t="s">
        <v>428</v>
      </c>
      <c r="L9" t="s">
        <v>428</v>
      </c>
      <c r="M9" t="s">
        <v>428</v>
      </c>
      <c r="N9" t="s">
        <v>428</v>
      </c>
      <c r="O9" t="s">
        <v>428</v>
      </c>
      <c r="Q9">
        <v>3</v>
      </c>
      <c r="R9" s="195" t="str">
        <f t="shared" ca="1" si="1"/>
        <v/>
      </c>
      <c r="S9" s="1" t="str">
        <f t="shared" ca="1" si="1"/>
        <v>.</v>
      </c>
      <c r="T9" s="1" t="str">
        <f t="shared" ca="1" si="1"/>
        <v/>
      </c>
      <c r="U9" s="1" t="str">
        <f t="shared" ca="1" si="1"/>
        <v/>
      </c>
      <c r="V9" s="1" t="str">
        <f t="shared" ca="1" si="1"/>
        <v/>
      </c>
      <c r="W9" s="192" t="str">
        <f t="shared" ca="1" si="1"/>
        <v>.</v>
      </c>
      <c r="Y9" t="str">
        <f t="shared" si="2"/>
        <v>{0x00,0x00,0x00,0x00,0x00}, // 0x5  'ENQ'</v>
      </c>
    </row>
    <row r="10" spans="1:25" x14ac:dyDescent="0.3">
      <c r="A10" s="8">
        <v>6</v>
      </c>
      <c r="B10" t="str">
        <f t="shared" si="3"/>
        <v>0x6</v>
      </c>
      <c r="C10" s="224" t="s">
        <v>362</v>
      </c>
      <c r="D10" t="s">
        <v>367</v>
      </c>
      <c r="E10" t="s">
        <v>367</v>
      </c>
      <c r="F10" t="s">
        <v>367</v>
      </c>
      <c r="G10" t="s">
        <v>367</v>
      </c>
      <c r="H10" t="s">
        <v>367</v>
      </c>
      <c r="I10" t="s">
        <v>438</v>
      </c>
      <c r="J10" t="s">
        <v>428</v>
      </c>
      <c r="K10" t="s">
        <v>428</v>
      </c>
      <c r="L10" t="s">
        <v>428</v>
      </c>
      <c r="M10" t="s">
        <v>428</v>
      </c>
      <c r="N10" t="s">
        <v>428</v>
      </c>
      <c r="O10" t="s">
        <v>428</v>
      </c>
      <c r="Q10">
        <v>2</v>
      </c>
      <c r="R10" s="195" t="str">
        <f t="shared" ca="1" si="1"/>
        <v/>
      </c>
      <c r="S10" s="1" t="str">
        <f t="shared" ca="1" si="1"/>
        <v/>
      </c>
      <c r="T10" s="1" t="str">
        <f t="shared" ca="1" si="1"/>
        <v>.</v>
      </c>
      <c r="U10" s="1" t="str">
        <f t="shared" ca="1" si="1"/>
        <v>.</v>
      </c>
      <c r="V10" s="1" t="str">
        <f t="shared" ca="1" si="1"/>
        <v>.</v>
      </c>
      <c r="W10" s="192" t="str">
        <f t="shared" ca="1" si="1"/>
        <v/>
      </c>
      <c r="Y10" t="str">
        <f t="shared" si="2"/>
        <v>{0x00,0x00,0x00,0x00,0x00}, // 0x6  'ACK'</v>
      </c>
    </row>
    <row r="11" spans="1:25" ht="15" thickBot="1" x14ac:dyDescent="0.35">
      <c r="A11" s="8">
        <v>7</v>
      </c>
      <c r="B11" t="str">
        <f t="shared" si="3"/>
        <v>0x7</v>
      </c>
      <c r="C11" s="225" t="s">
        <v>439</v>
      </c>
      <c r="D11" t="s">
        <v>367</v>
      </c>
      <c r="E11" t="s">
        <v>367</v>
      </c>
      <c r="F11" t="s">
        <v>367</v>
      </c>
      <c r="G11" t="s">
        <v>367</v>
      </c>
      <c r="H11" t="s">
        <v>367</v>
      </c>
      <c r="I11" t="s">
        <v>440</v>
      </c>
      <c r="J11" t="s">
        <v>428</v>
      </c>
      <c r="K11" t="s">
        <v>428</v>
      </c>
      <c r="L11" t="s">
        <v>428</v>
      </c>
      <c r="M11" t="s">
        <v>428</v>
      </c>
      <c r="N11" t="s">
        <v>428</v>
      </c>
      <c r="O11" t="s">
        <v>428</v>
      </c>
      <c r="Q11">
        <v>1</v>
      </c>
      <c r="R11" s="226" t="str">
        <f t="shared" ca="1" si="1"/>
        <v/>
      </c>
      <c r="S11" s="227" t="str">
        <f t="shared" ca="1" si="1"/>
        <v/>
      </c>
      <c r="T11" s="227" t="str">
        <f t="shared" ca="1" si="1"/>
        <v/>
      </c>
      <c r="U11" s="227" t="str">
        <f t="shared" ca="1" si="1"/>
        <v/>
      </c>
      <c r="V11" s="227" t="str">
        <f t="shared" ca="1" si="1"/>
        <v/>
      </c>
      <c r="W11" s="228" t="str">
        <f t="shared" ca="1" si="1"/>
        <v/>
      </c>
      <c r="Y11" t="str">
        <f t="shared" si="2"/>
        <v>{0x00,0x00,0x00,0x00,0x00}, // 0x7  'BEL'</v>
      </c>
    </row>
    <row r="12" spans="1:25" ht="15" thickTop="1" x14ac:dyDescent="0.3">
      <c r="A12" s="8">
        <v>8</v>
      </c>
      <c r="B12" t="str">
        <f t="shared" si="3"/>
        <v>0x8</v>
      </c>
      <c r="C12" s="224" t="s">
        <v>441</v>
      </c>
      <c r="D12" t="s">
        <v>367</v>
      </c>
      <c r="E12" t="s">
        <v>367</v>
      </c>
      <c r="F12" t="s">
        <v>367</v>
      </c>
      <c r="G12" t="s">
        <v>367</v>
      </c>
      <c r="H12" t="s">
        <v>367</v>
      </c>
      <c r="I12" t="s">
        <v>442</v>
      </c>
      <c r="J12" t="s">
        <v>428</v>
      </c>
      <c r="K12" t="s">
        <v>428</v>
      </c>
      <c r="L12" t="s">
        <v>428</v>
      </c>
      <c r="M12" t="s">
        <v>428</v>
      </c>
      <c r="N12" t="s">
        <v>428</v>
      </c>
      <c r="O12" t="s">
        <v>428</v>
      </c>
      <c r="Y12" t="str">
        <f t="shared" si="2"/>
        <v>{0x00,0x00,0x00,0x00,0x00}, // 0x8  'BS'</v>
      </c>
    </row>
    <row r="13" spans="1:25" x14ac:dyDescent="0.3">
      <c r="A13" s="8">
        <v>9</v>
      </c>
      <c r="B13" t="str">
        <f t="shared" si="3"/>
        <v>0x9</v>
      </c>
      <c r="C13" s="224" t="s">
        <v>443</v>
      </c>
      <c r="D13" t="s">
        <v>367</v>
      </c>
      <c r="E13" t="s">
        <v>367</v>
      </c>
      <c r="F13" t="s">
        <v>367</v>
      </c>
      <c r="G13" t="s">
        <v>367</v>
      </c>
      <c r="H13" t="s">
        <v>367</v>
      </c>
      <c r="I13" t="s">
        <v>444</v>
      </c>
      <c r="J13" t="s">
        <v>428</v>
      </c>
      <c r="K13" t="s">
        <v>428</v>
      </c>
      <c r="L13" t="s">
        <v>428</v>
      </c>
      <c r="M13" t="s">
        <v>428</v>
      </c>
      <c r="N13" t="s">
        <v>428</v>
      </c>
      <c r="O13" t="s">
        <v>428</v>
      </c>
      <c r="Y13" t="str">
        <f t="shared" si="2"/>
        <v>{0x00,0x00,0x00,0x00,0x00}, // 0x9  'HT'</v>
      </c>
    </row>
    <row r="14" spans="1:25" x14ac:dyDescent="0.3">
      <c r="A14" s="8">
        <v>10</v>
      </c>
      <c r="B14" t="str">
        <f t="shared" si="3"/>
        <v>0xA</v>
      </c>
      <c r="C14" s="224" t="s">
        <v>445</v>
      </c>
      <c r="D14" t="s">
        <v>367</v>
      </c>
      <c r="E14" t="s">
        <v>367</v>
      </c>
      <c r="F14" t="s">
        <v>367</v>
      </c>
      <c r="G14" t="s">
        <v>367</v>
      </c>
      <c r="H14" t="s">
        <v>367</v>
      </c>
      <c r="I14" t="s">
        <v>446</v>
      </c>
      <c r="J14" t="s">
        <v>428</v>
      </c>
      <c r="K14" t="s">
        <v>428</v>
      </c>
      <c r="L14" t="s">
        <v>428</v>
      </c>
      <c r="M14" t="s">
        <v>428</v>
      </c>
      <c r="N14" t="s">
        <v>428</v>
      </c>
      <c r="O14" t="s">
        <v>428</v>
      </c>
      <c r="Y14" t="str">
        <f t="shared" si="2"/>
        <v>{0x00,0x00,0x00,0x00,0x00}, // 0xA  'LF'</v>
      </c>
    </row>
    <row r="15" spans="1:25" x14ac:dyDescent="0.3">
      <c r="A15" s="8">
        <v>11</v>
      </c>
      <c r="B15" t="str">
        <f t="shared" si="3"/>
        <v>0xB</v>
      </c>
      <c r="C15" s="225" t="s">
        <v>447</v>
      </c>
      <c r="D15" t="s">
        <v>367</v>
      </c>
      <c r="E15" t="s">
        <v>367</v>
      </c>
      <c r="F15" t="s">
        <v>367</v>
      </c>
      <c r="G15" t="s">
        <v>367</v>
      </c>
      <c r="H15" t="s">
        <v>367</v>
      </c>
      <c r="I15" t="s">
        <v>448</v>
      </c>
      <c r="J15" t="s">
        <v>428</v>
      </c>
      <c r="K15" t="s">
        <v>428</v>
      </c>
      <c r="L15" t="s">
        <v>428</v>
      </c>
      <c r="M15" t="s">
        <v>428</v>
      </c>
      <c r="N15" t="s">
        <v>428</v>
      </c>
      <c r="O15" t="s">
        <v>428</v>
      </c>
      <c r="Y15" t="str">
        <f t="shared" si="2"/>
        <v>{0x00,0x00,0x00,0x00,0x00}, // 0xB  'VT'</v>
      </c>
    </row>
    <row r="16" spans="1:25" x14ac:dyDescent="0.3">
      <c r="A16" s="8">
        <v>12</v>
      </c>
      <c r="B16" t="str">
        <f t="shared" si="3"/>
        <v>0xC</v>
      </c>
      <c r="C16" s="224" t="s">
        <v>449</v>
      </c>
      <c r="D16" t="s">
        <v>367</v>
      </c>
      <c r="E16" t="s">
        <v>367</v>
      </c>
      <c r="F16" t="s">
        <v>367</v>
      </c>
      <c r="G16" t="s">
        <v>367</v>
      </c>
      <c r="H16" t="s">
        <v>367</v>
      </c>
      <c r="I16" t="s">
        <v>450</v>
      </c>
      <c r="J16" t="s">
        <v>428</v>
      </c>
      <c r="K16" t="s">
        <v>428</v>
      </c>
      <c r="L16" t="s">
        <v>428</v>
      </c>
      <c r="M16" t="s">
        <v>428</v>
      </c>
      <c r="N16" t="s">
        <v>428</v>
      </c>
      <c r="O16" t="s">
        <v>428</v>
      </c>
      <c r="Y16" t="str">
        <f t="shared" si="2"/>
        <v>{0x00,0x00,0x00,0x00,0x00}, // 0xC  'FF'</v>
      </c>
    </row>
    <row r="17" spans="1:25" x14ac:dyDescent="0.3">
      <c r="A17" s="8">
        <v>13</v>
      </c>
      <c r="B17" t="str">
        <f t="shared" si="3"/>
        <v>0xD</v>
      </c>
      <c r="C17" s="225" t="s">
        <v>451</v>
      </c>
      <c r="D17" t="s">
        <v>367</v>
      </c>
      <c r="E17" t="s">
        <v>367</v>
      </c>
      <c r="F17" t="s">
        <v>367</v>
      </c>
      <c r="G17" t="s">
        <v>367</v>
      </c>
      <c r="H17" t="s">
        <v>367</v>
      </c>
      <c r="I17" t="s">
        <v>452</v>
      </c>
      <c r="J17" t="s">
        <v>428</v>
      </c>
      <c r="K17" t="s">
        <v>428</v>
      </c>
      <c r="L17" t="s">
        <v>428</v>
      </c>
      <c r="M17" t="s">
        <v>428</v>
      </c>
      <c r="N17" t="s">
        <v>428</v>
      </c>
      <c r="O17" t="s">
        <v>428</v>
      </c>
      <c r="Y17" t="str">
        <f t="shared" si="2"/>
        <v>{0x00,0x00,0x00,0x00,0x00}, // 0xD  'CR'</v>
      </c>
    </row>
    <row r="18" spans="1:25" x14ac:dyDescent="0.3">
      <c r="A18" s="8">
        <v>14</v>
      </c>
      <c r="B18" t="str">
        <f t="shared" si="3"/>
        <v>0xE</v>
      </c>
      <c r="C18" s="225" t="s">
        <v>453</v>
      </c>
      <c r="D18" t="s">
        <v>367</v>
      </c>
      <c r="E18" t="s">
        <v>367</v>
      </c>
      <c r="F18" t="s">
        <v>367</v>
      </c>
      <c r="G18" t="s">
        <v>367</v>
      </c>
      <c r="H18" t="s">
        <v>367</v>
      </c>
      <c r="I18" t="s">
        <v>452</v>
      </c>
      <c r="J18" t="s">
        <v>428</v>
      </c>
      <c r="K18" t="s">
        <v>428</v>
      </c>
      <c r="L18" t="s">
        <v>428</v>
      </c>
      <c r="M18" t="s">
        <v>428</v>
      </c>
      <c r="N18" t="s">
        <v>428</v>
      </c>
      <c r="O18" t="s">
        <v>428</v>
      </c>
      <c r="Y18" t="str">
        <f t="shared" si="2"/>
        <v>{0x00,0x00,0x00,0x00,0x00}, // 0xE  'SO'</v>
      </c>
    </row>
    <row r="19" spans="1:25" x14ac:dyDescent="0.3">
      <c r="A19" s="8">
        <v>15</v>
      </c>
      <c r="B19" t="str">
        <f t="shared" si="3"/>
        <v>0xF</v>
      </c>
      <c r="C19" s="225" t="s">
        <v>454</v>
      </c>
      <c r="D19" t="s">
        <v>367</v>
      </c>
      <c r="E19" t="s">
        <v>367</v>
      </c>
      <c r="F19" t="s">
        <v>367</v>
      </c>
      <c r="G19" t="s">
        <v>367</v>
      </c>
      <c r="H19" t="s">
        <v>367</v>
      </c>
      <c r="I19" t="s">
        <v>455</v>
      </c>
      <c r="J19" t="s">
        <v>428</v>
      </c>
      <c r="K19" t="s">
        <v>428</v>
      </c>
      <c r="L19" t="s">
        <v>428</v>
      </c>
      <c r="M19" t="s">
        <v>428</v>
      </c>
      <c r="N19" t="s">
        <v>428</v>
      </c>
      <c r="O19" t="s">
        <v>428</v>
      </c>
      <c r="Y19" t="str">
        <f t="shared" si="2"/>
        <v>{0x00,0x00,0x00,0x00,0x00}, // 0xF  'S1'</v>
      </c>
    </row>
    <row r="20" spans="1:25" x14ac:dyDescent="0.3">
      <c r="A20" s="8">
        <v>16</v>
      </c>
      <c r="B20" t="str">
        <f t="shared" si="3"/>
        <v>0x10</v>
      </c>
      <c r="C20" s="224" t="s">
        <v>456</v>
      </c>
      <c r="D20" t="s">
        <v>367</v>
      </c>
      <c r="E20" t="s">
        <v>367</v>
      </c>
      <c r="F20" t="s">
        <v>367</v>
      </c>
      <c r="G20" t="s">
        <v>367</v>
      </c>
      <c r="H20" t="s">
        <v>367</v>
      </c>
      <c r="I20" t="s">
        <v>457</v>
      </c>
      <c r="J20" t="s">
        <v>428</v>
      </c>
      <c r="K20" t="s">
        <v>428</v>
      </c>
      <c r="L20" t="s">
        <v>428</v>
      </c>
      <c r="M20" t="s">
        <v>428</v>
      </c>
      <c r="N20" t="s">
        <v>428</v>
      </c>
      <c r="O20" t="s">
        <v>428</v>
      </c>
      <c r="Y20" t="str">
        <f t="shared" si="2"/>
        <v>{0x00,0x00,0x00,0x00,0x00}, // 0x10  'DLE'</v>
      </c>
    </row>
    <row r="21" spans="1:25" x14ac:dyDescent="0.3">
      <c r="A21" s="8">
        <v>17</v>
      </c>
      <c r="B21" t="str">
        <f t="shared" si="3"/>
        <v>0x11</v>
      </c>
      <c r="C21" s="224" t="s">
        <v>458</v>
      </c>
      <c r="D21" t="s">
        <v>367</v>
      </c>
      <c r="E21" t="s">
        <v>367</v>
      </c>
      <c r="F21" t="s">
        <v>367</v>
      </c>
      <c r="G21" t="s">
        <v>367</v>
      </c>
      <c r="H21" t="s">
        <v>367</v>
      </c>
      <c r="I21" t="s">
        <v>459</v>
      </c>
      <c r="J21" t="s">
        <v>428</v>
      </c>
      <c r="K21" t="s">
        <v>428</v>
      </c>
      <c r="L21" t="s">
        <v>428</v>
      </c>
      <c r="M21" t="s">
        <v>428</v>
      </c>
      <c r="N21" t="s">
        <v>428</v>
      </c>
      <c r="O21" t="s">
        <v>428</v>
      </c>
      <c r="Y21" t="str">
        <f t="shared" si="2"/>
        <v>{0x00,0x00,0x00,0x00,0x00}, // 0x11  'DC1'</v>
      </c>
    </row>
    <row r="22" spans="1:25" x14ac:dyDescent="0.3">
      <c r="A22" s="8">
        <v>18</v>
      </c>
      <c r="B22" t="str">
        <f t="shared" si="3"/>
        <v>0x12</v>
      </c>
      <c r="C22" s="224" t="s">
        <v>460</v>
      </c>
      <c r="D22" t="s">
        <v>367</v>
      </c>
      <c r="E22" t="s">
        <v>367</v>
      </c>
      <c r="F22" t="s">
        <v>367</v>
      </c>
      <c r="G22" t="s">
        <v>367</v>
      </c>
      <c r="H22" t="s">
        <v>367</v>
      </c>
      <c r="I22" t="s">
        <v>461</v>
      </c>
      <c r="J22" t="s">
        <v>428</v>
      </c>
      <c r="K22" t="s">
        <v>428</v>
      </c>
      <c r="L22" t="s">
        <v>428</v>
      </c>
      <c r="M22" t="s">
        <v>428</v>
      </c>
      <c r="N22" t="s">
        <v>428</v>
      </c>
      <c r="O22" t="s">
        <v>428</v>
      </c>
      <c r="Y22" t="str">
        <f t="shared" si="2"/>
        <v>{0x00,0x00,0x00,0x00,0x00}, // 0x12  'DC2'</v>
      </c>
    </row>
    <row r="23" spans="1:25" x14ac:dyDescent="0.3">
      <c r="A23" s="8">
        <v>19</v>
      </c>
      <c r="B23" t="str">
        <f t="shared" si="3"/>
        <v>0x13</v>
      </c>
      <c r="C23" s="224" t="s">
        <v>462</v>
      </c>
      <c r="D23" t="s">
        <v>367</v>
      </c>
      <c r="E23" t="s">
        <v>367</v>
      </c>
      <c r="F23" t="s">
        <v>367</v>
      </c>
      <c r="G23" t="s">
        <v>367</v>
      </c>
      <c r="H23" t="s">
        <v>367</v>
      </c>
      <c r="I23" t="s">
        <v>463</v>
      </c>
      <c r="J23" t="s">
        <v>428</v>
      </c>
      <c r="K23" t="s">
        <v>428</v>
      </c>
      <c r="L23" t="s">
        <v>428</v>
      </c>
      <c r="M23" t="s">
        <v>428</v>
      </c>
      <c r="N23" t="s">
        <v>428</v>
      </c>
      <c r="O23" t="s">
        <v>428</v>
      </c>
      <c r="Y23" t="str">
        <f t="shared" si="2"/>
        <v>{0x00,0x00,0x00,0x00,0x00}, // 0x13  'DC3'</v>
      </c>
    </row>
    <row r="24" spans="1:25" x14ac:dyDescent="0.3">
      <c r="A24" s="8">
        <v>20</v>
      </c>
      <c r="B24" t="str">
        <f t="shared" si="3"/>
        <v>0x14</v>
      </c>
      <c r="C24" s="224" t="s">
        <v>464</v>
      </c>
      <c r="D24" t="s">
        <v>367</v>
      </c>
      <c r="E24" t="s">
        <v>367</v>
      </c>
      <c r="F24" t="s">
        <v>367</v>
      </c>
      <c r="G24" t="s">
        <v>367</v>
      </c>
      <c r="H24" t="s">
        <v>367</v>
      </c>
      <c r="I24" t="s">
        <v>465</v>
      </c>
      <c r="J24" t="s">
        <v>428</v>
      </c>
      <c r="K24" t="s">
        <v>428</v>
      </c>
      <c r="L24" t="s">
        <v>428</v>
      </c>
      <c r="M24" t="s">
        <v>428</v>
      </c>
      <c r="N24" t="s">
        <v>428</v>
      </c>
      <c r="O24" t="s">
        <v>428</v>
      </c>
      <c r="Y24" t="str">
        <f t="shared" si="2"/>
        <v>{0x00,0x00,0x00,0x00,0x00}, // 0x14  'DC4'</v>
      </c>
    </row>
    <row r="25" spans="1:25" x14ac:dyDescent="0.3">
      <c r="A25" s="8">
        <v>21</v>
      </c>
      <c r="B25" t="str">
        <f t="shared" si="3"/>
        <v>0x15</v>
      </c>
      <c r="C25" s="224" t="s">
        <v>466</v>
      </c>
      <c r="D25" t="s">
        <v>367</v>
      </c>
      <c r="E25" t="s">
        <v>367</v>
      </c>
      <c r="F25" t="s">
        <v>367</v>
      </c>
      <c r="G25" t="s">
        <v>367</v>
      </c>
      <c r="H25" t="s">
        <v>367</v>
      </c>
      <c r="I25" t="s">
        <v>467</v>
      </c>
      <c r="J25" t="s">
        <v>428</v>
      </c>
      <c r="K25" t="s">
        <v>428</v>
      </c>
      <c r="L25" t="s">
        <v>428</v>
      </c>
      <c r="M25" t="s">
        <v>428</v>
      </c>
      <c r="N25" t="s">
        <v>428</v>
      </c>
      <c r="O25" t="s">
        <v>428</v>
      </c>
      <c r="Y25" t="str">
        <f t="shared" si="2"/>
        <v>{0x00,0x00,0x00,0x00,0x00}, // 0x15  'NAK'</v>
      </c>
    </row>
    <row r="26" spans="1:25" x14ac:dyDescent="0.3">
      <c r="A26" s="8">
        <v>22</v>
      </c>
      <c r="B26" t="str">
        <f t="shared" si="3"/>
        <v>0x16</v>
      </c>
      <c r="C26" s="224" t="s">
        <v>468</v>
      </c>
      <c r="D26" t="s">
        <v>367</v>
      </c>
      <c r="E26" t="s">
        <v>367</v>
      </c>
      <c r="F26" t="s">
        <v>367</v>
      </c>
      <c r="G26" t="s">
        <v>367</v>
      </c>
      <c r="H26" t="s">
        <v>367</v>
      </c>
      <c r="I26" t="s">
        <v>461</v>
      </c>
      <c r="J26" t="s">
        <v>428</v>
      </c>
      <c r="K26" t="s">
        <v>428</v>
      </c>
      <c r="L26" t="s">
        <v>428</v>
      </c>
      <c r="M26" t="s">
        <v>428</v>
      </c>
      <c r="N26" t="s">
        <v>428</v>
      </c>
      <c r="O26" t="s">
        <v>428</v>
      </c>
      <c r="Y26" t="str">
        <f t="shared" si="2"/>
        <v>{0x00,0x00,0x00,0x00,0x00}, // 0x16  'SYN'</v>
      </c>
    </row>
    <row r="27" spans="1:25" x14ac:dyDescent="0.3">
      <c r="A27" s="8">
        <v>23</v>
      </c>
      <c r="B27" t="str">
        <f t="shared" si="3"/>
        <v>0x17</v>
      </c>
      <c r="C27" s="224" t="s">
        <v>469</v>
      </c>
      <c r="D27" t="s">
        <v>367</v>
      </c>
      <c r="E27" t="s">
        <v>367</v>
      </c>
      <c r="F27" t="s">
        <v>367</v>
      </c>
      <c r="G27" t="s">
        <v>367</v>
      </c>
      <c r="H27" t="s">
        <v>367</v>
      </c>
      <c r="I27" t="s">
        <v>470</v>
      </c>
      <c r="J27" t="s">
        <v>428</v>
      </c>
      <c r="K27" t="s">
        <v>428</v>
      </c>
      <c r="L27" t="s">
        <v>428</v>
      </c>
      <c r="M27" t="s">
        <v>428</v>
      </c>
      <c r="N27" t="s">
        <v>428</v>
      </c>
      <c r="O27" t="s">
        <v>428</v>
      </c>
      <c r="Y27" t="str">
        <f t="shared" si="2"/>
        <v>{0x00,0x00,0x00,0x00,0x00}, // 0x17  'ETB'</v>
      </c>
    </row>
    <row r="28" spans="1:25" x14ac:dyDescent="0.3">
      <c r="A28" s="8">
        <v>24</v>
      </c>
      <c r="B28" t="str">
        <f t="shared" si="3"/>
        <v>0x18</v>
      </c>
      <c r="C28" s="224" t="s">
        <v>471</v>
      </c>
      <c r="D28" t="s">
        <v>367</v>
      </c>
      <c r="E28" t="s">
        <v>367</v>
      </c>
      <c r="F28" t="s">
        <v>367</v>
      </c>
      <c r="G28" t="s">
        <v>367</v>
      </c>
      <c r="H28" t="s">
        <v>367</v>
      </c>
      <c r="I28" t="s">
        <v>472</v>
      </c>
      <c r="J28" t="s">
        <v>428</v>
      </c>
      <c r="K28" t="s">
        <v>428</v>
      </c>
      <c r="L28" t="s">
        <v>428</v>
      </c>
      <c r="M28" t="s">
        <v>428</v>
      </c>
      <c r="N28" t="s">
        <v>428</v>
      </c>
      <c r="O28" t="s">
        <v>428</v>
      </c>
      <c r="Y28" t="str">
        <f t="shared" si="2"/>
        <v>{0x00,0x00,0x00,0x00,0x00}, // 0x18  'CAN'</v>
      </c>
    </row>
    <row r="29" spans="1:25" x14ac:dyDescent="0.3">
      <c r="A29" s="8">
        <v>25</v>
      </c>
      <c r="B29" t="str">
        <f t="shared" si="3"/>
        <v>0x19</v>
      </c>
      <c r="C29" s="224" t="s">
        <v>473</v>
      </c>
      <c r="D29" t="s">
        <v>367</v>
      </c>
      <c r="E29" t="s">
        <v>367</v>
      </c>
      <c r="F29" t="s">
        <v>367</v>
      </c>
      <c r="G29" t="s">
        <v>367</v>
      </c>
      <c r="H29" t="s">
        <v>367</v>
      </c>
      <c r="I29" t="s">
        <v>457</v>
      </c>
      <c r="J29" t="s">
        <v>428</v>
      </c>
      <c r="K29" t="s">
        <v>428</v>
      </c>
      <c r="L29" t="s">
        <v>428</v>
      </c>
      <c r="M29" t="s">
        <v>428</v>
      </c>
      <c r="N29" t="s">
        <v>428</v>
      </c>
      <c r="O29" t="s">
        <v>428</v>
      </c>
      <c r="Y29" t="str">
        <f t="shared" si="2"/>
        <v>{0x00,0x00,0x00,0x00,0x00}, // 0x19  'EM'</v>
      </c>
    </row>
    <row r="30" spans="1:25" x14ac:dyDescent="0.3">
      <c r="A30" s="8">
        <v>26</v>
      </c>
      <c r="B30" t="str">
        <f t="shared" si="3"/>
        <v>0x1A</v>
      </c>
      <c r="C30" s="224" t="s">
        <v>474</v>
      </c>
      <c r="D30" t="s">
        <v>367</v>
      </c>
      <c r="E30" t="s">
        <v>367</v>
      </c>
      <c r="F30" t="s">
        <v>367</v>
      </c>
      <c r="G30" t="s">
        <v>367</v>
      </c>
      <c r="H30" t="s">
        <v>367</v>
      </c>
      <c r="I30" t="s">
        <v>459</v>
      </c>
      <c r="J30" t="s">
        <v>428</v>
      </c>
      <c r="K30" t="s">
        <v>428</v>
      </c>
      <c r="L30" t="s">
        <v>428</v>
      </c>
      <c r="M30" t="s">
        <v>428</v>
      </c>
      <c r="N30" t="s">
        <v>428</v>
      </c>
      <c r="O30" t="s">
        <v>428</v>
      </c>
      <c r="Y30" t="str">
        <f t="shared" si="2"/>
        <v>{0x00,0x00,0x00,0x00,0x00}, // 0x1A  'SUB'</v>
      </c>
    </row>
    <row r="31" spans="1:25" x14ac:dyDescent="0.3">
      <c r="A31" s="8">
        <v>27</v>
      </c>
      <c r="B31" t="str">
        <f t="shared" si="3"/>
        <v>0x1B</v>
      </c>
      <c r="C31" s="224" t="s">
        <v>475</v>
      </c>
      <c r="D31" t="s">
        <v>367</v>
      </c>
      <c r="E31" t="s">
        <v>367</v>
      </c>
      <c r="F31" t="s">
        <v>367</v>
      </c>
      <c r="G31" t="s">
        <v>367</v>
      </c>
      <c r="H31" t="s">
        <v>367</v>
      </c>
      <c r="I31" t="s">
        <v>476</v>
      </c>
      <c r="J31" t="s">
        <v>428</v>
      </c>
      <c r="K31" t="s">
        <v>428</v>
      </c>
      <c r="L31" t="s">
        <v>428</v>
      </c>
      <c r="M31" t="s">
        <v>428</v>
      </c>
      <c r="N31" t="s">
        <v>428</v>
      </c>
      <c r="O31" t="s">
        <v>428</v>
      </c>
      <c r="Y31" t="str">
        <f t="shared" si="2"/>
        <v>{0x00,0x00,0x00,0x00,0x00}, // 0x1B  'ESC'</v>
      </c>
    </row>
    <row r="32" spans="1:25" x14ac:dyDescent="0.3">
      <c r="A32" s="8">
        <v>28</v>
      </c>
      <c r="B32" t="str">
        <f t="shared" si="3"/>
        <v>0x1C</v>
      </c>
      <c r="C32" s="224" t="s">
        <v>477</v>
      </c>
      <c r="D32" t="s">
        <v>367</v>
      </c>
      <c r="E32" t="s">
        <v>367</v>
      </c>
      <c r="F32" t="s">
        <v>367</v>
      </c>
      <c r="G32" t="s">
        <v>367</v>
      </c>
      <c r="H32" t="s">
        <v>367</v>
      </c>
      <c r="I32" t="s">
        <v>478</v>
      </c>
      <c r="J32" t="s">
        <v>428</v>
      </c>
      <c r="K32" t="s">
        <v>428</v>
      </c>
      <c r="L32" t="s">
        <v>428</v>
      </c>
      <c r="M32" t="s">
        <v>428</v>
      </c>
      <c r="N32" t="s">
        <v>428</v>
      </c>
      <c r="O32" t="s">
        <v>428</v>
      </c>
      <c r="Y32" t="str">
        <f t="shared" si="2"/>
        <v>{0x00,0x00,0x00,0x00,0x00}, // 0x1C  'FS'</v>
      </c>
    </row>
    <row r="33" spans="1:25" x14ac:dyDescent="0.3">
      <c r="A33" s="8">
        <v>29</v>
      </c>
      <c r="B33" t="str">
        <f t="shared" si="3"/>
        <v>0x1D</v>
      </c>
      <c r="C33" s="224" t="s">
        <v>479</v>
      </c>
      <c r="D33" t="s">
        <v>367</v>
      </c>
      <c r="E33" t="s">
        <v>367</v>
      </c>
      <c r="F33" t="s">
        <v>367</v>
      </c>
      <c r="G33" t="s">
        <v>367</v>
      </c>
      <c r="H33" t="s">
        <v>367</v>
      </c>
      <c r="I33" t="s">
        <v>480</v>
      </c>
      <c r="J33" t="s">
        <v>428</v>
      </c>
      <c r="K33" t="s">
        <v>428</v>
      </c>
      <c r="L33" t="s">
        <v>428</v>
      </c>
      <c r="M33" t="s">
        <v>428</v>
      </c>
      <c r="N33" t="s">
        <v>428</v>
      </c>
      <c r="O33" t="s">
        <v>428</v>
      </c>
      <c r="Y33" t="str">
        <f t="shared" si="2"/>
        <v>{0x00,0x00,0x00,0x00,0x00}, // 0x1D  'GS'</v>
      </c>
    </row>
    <row r="34" spans="1:25" x14ac:dyDescent="0.3">
      <c r="A34" s="8">
        <v>30</v>
      </c>
      <c r="B34" t="str">
        <f t="shared" si="3"/>
        <v>0x1E</v>
      </c>
      <c r="C34" s="224" t="s">
        <v>481</v>
      </c>
      <c r="D34" t="s">
        <v>367</v>
      </c>
      <c r="E34" t="s">
        <v>367</v>
      </c>
      <c r="F34" t="s">
        <v>367</v>
      </c>
      <c r="G34" t="s">
        <v>367</v>
      </c>
      <c r="H34" t="s">
        <v>367</v>
      </c>
      <c r="I34" t="s">
        <v>482</v>
      </c>
      <c r="J34" t="s">
        <v>428</v>
      </c>
      <c r="K34" t="s">
        <v>428</v>
      </c>
      <c r="L34" t="s">
        <v>428</v>
      </c>
      <c r="M34" t="s">
        <v>428</v>
      </c>
      <c r="N34" t="s">
        <v>428</v>
      </c>
      <c r="O34" t="s">
        <v>428</v>
      </c>
      <c r="Y34" t="str">
        <f t="shared" si="2"/>
        <v>{0x00,0x00,0x00,0x00,0x00}, // 0x1E  'RS'</v>
      </c>
    </row>
    <row r="35" spans="1:25" ht="15" thickBot="1" x14ac:dyDescent="0.35">
      <c r="A35" s="8">
        <v>31</v>
      </c>
      <c r="B35" t="str">
        <f t="shared" si="3"/>
        <v>0x1F</v>
      </c>
      <c r="C35" s="224" t="s">
        <v>483</v>
      </c>
      <c r="D35" t="s">
        <v>367</v>
      </c>
      <c r="E35" t="s">
        <v>367</v>
      </c>
      <c r="F35" t="s">
        <v>367</v>
      </c>
      <c r="G35" t="s">
        <v>367</v>
      </c>
      <c r="H35" t="s">
        <v>367</v>
      </c>
      <c r="I35" t="str">
        <f t="shared" ref="I35:I98" si="4">CHAR(A35)</f>
        <v>_x001F_</v>
      </c>
      <c r="J35" t="s">
        <v>428</v>
      </c>
      <c r="K35" t="s">
        <v>428</v>
      </c>
      <c r="L35" t="s">
        <v>428</v>
      </c>
      <c r="M35" t="s">
        <v>428</v>
      </c>
      <c r="N35" t="s">
        <v>428</v>
      </c>
      <c r="O35" t="s">
        <v>428</v>
      </c>
      <c r="Y35" t="str">
        <f t="shared" si="2"/>
        <v>{0x00,0x00,0x00,0x00,0x00}, // 0x1F  'US'</v>
      </c>
    </row>
    <row r="36" spans="1:25" ht="15" thickTop="1" x14ac:dyDescent="0.3">
      <c r="A36" s="8">
        <v>32</v>
      </c>
      <c r="B36" t="str">
        <f>"0x"&amp;DEC2HEX(A36)</f>
        <v>0x20</v>
      </c>
      <c r="C36" s="224" t="s">
        <v>484</v>
      </c>
      <c r="D36" t="s">
        <v>367</v>
      </c>
      <c r="E36" t="s">
        <v>367</v>
      </c>
      <c r="F36" t="s">
        <v>367</v>
      </c>
      <c r="G36" t="s">
        <v>367</v>
      </c>
      <c r="H36" t="s">
        <v>367</v>
      </c>
      <c r="I36" t="str">
        <f t="shared" si="4"/>
        <v xml:space="preserve"> </v>
      </c>
      <c r="J36" t="s">
        <v>428</v>
      </c>
      <c r="K36" t="s">
        <v>428</v>
      </c>
      <c r="L36" t="s">
        <v>428</v>
      </c>
      <c r="M36" t="s">
        <v>428</v>
      </c>
      <c r="N36" t="s">
        <v>428</v>
      </c>
      <c r="O36" t="s">
        <v>428</v>
      </c>
      <c r="Q36">
        <v>8</v>
      </c>
      <c r="R36" s="193" t="str">
        <f t="shared" ref="R36:W43" ca="1" si="5">IF(MID(J$2,$Q36,1)="1",".","")</f>
        <v/>
      </c>
      <c r="S36" s="194" t="str">
        <f t="shared" ca="1" si="5"/>
        <v/>
      </c>
      <c r="T36" s="194" t="str">
        <f t="shared" ca="1" si="5"/>
        <v>.</v>
      </c>
      <c r="U36" s="194" t="str">
        <f t="shared" ca="1" si="5"/>
        <v>.</v>
      </c>
      <c r="V36" s="194" t="str">
        <f t="shared" ca="1" si="5"/>
        <v>.</v>
      </c>
      <c r="W36" s="191" t="str">
        <f t="shared" ca="1" si="5"/>
        <v/>
      </c>
      <c r="Y36" t="str">
        <f t="shared" si="2"/>
        <v>{0x00,0x00,0x00,0x00,0x00}, // 0x20  ' '</v>
      </c>
    </row>
    <row r="37" spans="1:25" x14ac:dyDescent="0.3">
      <c r="A37" s="8">
        <v>33</v>
      </c>
      <c r="B37" t="str">
        <f>"0x"&amp;DEC2HEX(A37)</f>
        <v>0x21</v>
      </c>
      <c r="C37" s="224" t="s">
        <v>485</v>
      </c>
      <c r="D37" t="s">
        <v>367</v>
      </c>
      <c r="E37" t="s">
        <v>367</v>
      </c>
      <c r="F37" t="s">
        <v>486</v>
      </c>
      <c r="G37" t="s">
        <v>367</v>
      </c>
      <c r="H37" t="s">
        <v>367</v>
      </c>
      <c r="I37" s="1" t="str">
        <f t="shared" si="4"/>
        <v>!</v>
      </c>
      <c r="J37" t="s">
        <v>428</v>
      </c>
      <c r="K37" t="s">
        <v>428</v>
      </c>
      <c r="L37" t="s">
        <v>428</v>
      </c>
      <c r="M37" t="s">
        <v>487</v>
      </c>
      <c r="N37" t="s">
        <v>428</v>
      </c>
      <c r="O37" t="s">
        <v>428</v>
      </c>
      <c r="Q37">
        <v>7</v>
      </c>
      <c r="R37" s="195" t="str">
        <f t="shared" ca="1" si="5"/>
        <v/>
      </c>
      <c r="S37" s="1" t="str">
        <f t="shared" ca="1" si="5"/>
        <v>.</v>
      </c>
      <c r="T37" s="1" t="str">
        <f t="shared" ca="1" si="5"/>
        <v/>
      </c>
      <c r="U37" s="1" t="str">
        <f t="shared" ca="1" si="5"/>
        <v/>
      </c>
      <c r="V37" s="1" t="str">
        <f t="shared" ca="1" si="5"/>
        <v/>
      </c>
      <c r="W37" s="192" t="str">
        <f t="shared" ca="1" si="5"/>
        <v>.</v>
      </c>
      <c r="Y37" t="str">
        <f t="shared" si="2"/>
        <v>{0x00,0x00,0x6f,0x00,0x00}, // 0x21  '!'</v>
      </c>
    </row>
    <row r="38" spans="1:25" x14ac:dyDescent="0.3">
      <c r="A38" s="8">
        <v>34</v>
      </c>
      <c r="B38" t="str">
        <f t="shared" ref="B38:B101" si="6">"0x"&amp;DEC2HEX(A38)</f>
        <v>0x22</v>
      </c>
      <c r="C38" s="224" t="s">
        <v>488</v>
      </c>
      <c r="D38" t="s">
        <v>367</v>
      </c>
      <c r="E38" t="s">
        <v>489</v>
      </c>
      <c r="F38" t="s">
        <v>367</v>
      </c>
      <c r="G38" t="s">
        <v>489</v>
      </c>
      <c r="H38" t="s">
        <v>367</v>
      </c>
      <c r="I38" s="1" t="str">
        <f t="shared" si="4"/>
        <v>"</v>
      </c>
      <c r="J38" t="s">
        <v>428</v>
      </c>
      <c r="K38" t="s">
        <v>428</v>
      </c>
      <c r="L38" t="s">
        <v>490</v>
      </c>
      <c r="M38" t="s">
        <v>428</v>
      </c>
      <c r="N38" t="s">
        <v>490</v>
      </c>
      <c r="O38" t="s">
        <v>428</v>
      </c>
      <c r="Q38">
        <v>6</v>
      </c>
      <c r="R38" s="195" t="str">
        <f t="shared" ca="1" si="5"/>
        <v/>
      </c>
      <c r="S38" s="1" t="str">
        <f t="shared" ca="1" si="5"/>
        <v>.</v>
      </c>
      <c r="T38" s="1" t="str">
        <f t="shared" ca="1" si="5"/>
        <v/>
      </c>
      <c r="U38" s="1" t="str">
        <f t="shared" ca="1" si="5"/>
        <v/>
      </c>
      <c r="V38" s="1" t="str">
        <f t="shared" ca="1" si="5"/>
        <v>.</v>
      </c>
      <c r="W38" s="192" t="str">
        <f t="shared" ca="1" si="5"/>
        <v>.</v>
      </c>
      <c r="Y38" t="str">
        <f t="shared" si="2"/>
        <v>{0x00,0x07,0x00,0x07,0x00}, // 0x22  '"'</v>
      </c>
    </row>
    <row r="39" spans="1:25" x14ac:dyDescent="0.3">
      <c r="A39" s="8">
        <v>35</v>
      </c>
      <c r="B39" t="str">
        <f t="shared" si="6"/>
        <v>0x23</v>
      </c>
      <c r="C39" s="224" t="s">
        <v>426</v>
      </c>
      <c r="D39" t="s">
        <v>491</v>
      </c>
      <c r="E39" t="s">
        <v>492</v>
      </c>
      <c r="F39" t="s">
        <v>491</v>
      </c>
      <c r="G39" t="s">
        <v>492</v>
      </c>
      <c r="H39" t="s">
        <v>491</v>
      </c>
      <c r="I39" s="1" t="str">
        <f t="shared" si="4"/>
        <v>#</v>
      </c>
      <c r="J39" t="s">
        <v>428</v>
      </c>
      <c r="K39" t="s">
        <v>493</v>
      </c>
      <c r="L39" t="s">
        <v>494</v>
      </c>
      <c r="M39" t="s">
        <v>493</v>
      </c>
      <c r="N39" t="s">
        <v>494</v>
      </c>
      <c r="O39" t="s">
        <v>493</v>
      </c>
      <c r="Q39">
        <v>5</v>
      </c>
      <c r="R39" s="195" t="str">
        <f t="shared" ca="1" si="5"/>
        <v/>
      </c>
      <c r="S39" s="1" t="str">
        <f t="shared" ca="1" si="5"/>
        <v>.</v>
      </c>
      <c r="T39" s="1" t="str">
        <f t="shared" ca="1" si="5"/>
        <v/>
      </c>
      <c r="U39" s="1" t="str">
        <f t="shared" ca="1" si="5"/>
        <v>.</v>
      </c>
      <c r="V39" s="1" t="str">
        <f t="shared" ca="1" si="5"/>
        <v/>
      </c>
      <c r="W39" s="192" t="str">
        <f t="shared" ca="1" si="5"/>
        <v>.</v>
      </c>
      <c r="Y39" t="str">
        <f t="shared" si="2"/>
        <v>{0x14,0x7f,0x14,0x7f,0x14}, // 0x23  '#'</v>
      </c>
    </row>
    <row r="40" spans="1:25" x14ac:dyDescent="0.3">
      <c r="A40" s="8">
        <v>36</v>
      </c>
      <c r="B40" t="str">
        <f t="shared" si="6"/>
        <v>0x24</v>
      </c>
      <c r="C40" s="224" t="s">
        <v>495</v>
      </c>
      <c r="D40" t="s">
        <v>367</v>
      </c>
      <c r="E40" t="s">
        <v>489</v>
      </c>
      <c r="F40" t="s">
        <v>379</v>
      </c>
      <c r="G40" t="s">
        <v>496</v>
      </c>
      <c r="H40" t="s">
        <v>367</v>
      </c>
      <c r="I40" s="1" t="str">
        <f t="shared" si="4"/>
        <v>$</v>
      </c>
      <c r="J40" t="s">
        <v>428</v>
      </c>
      <c r="K40" t="s">
        <v>428</v>
      </c>
      <c r="L40" t="s">
        <v>490</v>
      </c>
      <c r="M40" t="s">
        <v>497</v>
      </c>
      <c r="N40" t="s">
        <v>498</v>
      </c>
      <c r="O40" t="s">
        <v>428</v>
      </c>
      <c r="Q40">
        <v>4</v>
      </c>
      <c r="R40" s="195" t="str">
        <f t="shared" ca="1" si="5"/>
        <v/>
      </c>
      <c r="S40" s="1" t="str">
        <f t="shared" ca="1" si="5"/>
        <v>.</v>
      </c>
      <c r="T40" s="1" t="str">
        <f t="shared" ca="1" si="5"/>
        <v>.</v>
      </c>
      <c r="U40" s="1" t="str">
        <f t="shared" ca="1" si="5"/>
        <v/>
      </c>
      <c r="V40" s="1" t="str">
        <f t="shared" ca="1" si="5"/>
        <v/>
      </c>
      <c r="W40" s="192" t="str">
        <f t="shared" ca="1" si="5"/>
        <v>.</v>
      </c>
      <c r="Y40" t="str">
        <f t="shared" si="2"/>
        <v>{0x00,0x07,0x04,0x1e,0x00}, // 0x24  '$'</v>
      </c>
    </row>
    <row r="41" spans="1:25" x14ac:dyDescent="0.3">
      <c r="A41" s="8">
        <v>37</v>
      </c>
      <c r="B41" t="str">
        <f t="shared" si="6"/>
        <v>0x25</v>
      </c>
      <c r="C41" s="224" t="s">
        <v>499</v>
      </c>
      <c r="D41" t="s">
        <v>500</v>
      </c>
      <c r="E41" t="s">
        <v>501</v>
      </c>
      <c r="F41" t="s">
        <v>502</v>
      </c>
      <c r="G41" t="s">
        <v>503</v>
      </c>
      <c r="H41" t="s">
        <v>504</v>
      </c>
      <c r="I41" s="1" t="str">
        <f t="shared" si="4"/>
        <v>%</v>
      </c>
      <c r="J41" t="s">
        <v>428</v>
      </c>
      <c r="K41" t="s">
        <v>505</v>
      </c>
      <c r="L41" t="s">
        <v>506</v>
      </c>
      <c r="M41" t="s">
        <v>507</v>
      </c>
      <c r="N41" t="s">
        <v>508</v>
      </c>
      <c r="O41" t="s">
        <v>509</v>
      </c>
      <c r="Q41">
        <v>3</v>
      </c>
      <c r="R41" s="195" t="str">
        <f t="shared" ca="1" si="5"/>
        <v/>
      </c>
      <c r="S41" s="1" t="str">
        <f t="shared" ca="1" si="5"/>
        <v>.</v>
      </c>
      <c r="T41" s="1" t="str">
        <f t="shared" ca="1" si="5"/>
        <v/>
      </c>
      <c r="U41" s="1" t="str">
        <f t="shared" ca="1" si="5"/>
        <v/>
      </c>
      <c r="V41" s="1" t="str">
        <f t="shared" ca="1" si="5"/>
        <v/>
      </c>
      <c r="W41" s="192" t="str">
        <f t="shared" ca="1" si="5"/>
        <v>.</v>
      </c>
      <c r="Y41" t="str">
        <f t="shared" si="2"/>
        <v>{0x23,0x13,0x08,0x64,0x62}, // 0x25  '%'</v>
      </c>
    </row>
    <row r="42" spans="1:25" x14ac:dyDescent="0.3">
      <c r="A42" s="8">
        <v>38</v>
      </c>
      <c r="B42" t="str">
        <f t="shared" si="6"/>
        <v>0x26</v>
      </c>
      <c r="C42" s="224" t="s">
        <v>510</v>
      </c>
      <c r="D42" t="s">
        <v>511</v>
      </c>
      <c r="E42" t="s">
        <v>512</v>
      </c>
      <c r="F42" t="s">
        <v>513</v>
      </c>
      <c r="G42" t="s">
        <v>514</v>
      </c>
      <c r="H42" t="s">
        <v>515</v>
      </c>
      <c r="I42" s="1" t="str">
        <f t="shared" si="4"/>
        <v>&amp;</v>
      </c>
      <c r="J42" t="s">
        <v>428</v>
      </c>
      <c r="K42" t="s">
        <v>516</v>
      </c>
      <c r="L42" t="s">
        <v>517</v>
      </c>
      <c r="M42" t="s">
        <v>518</v>
      </c>
      <c r="N42" t="s">
        <v>519</v>
      </c>
      <c r="O42" t="s">
        <v>520</v>
      </c>
      <c r="Q42">
        <v>2</v>
      </c>
      <c r="R42" s="195" t="str">
        <f t="shared" ca="1" si="5"/>
        <v/>
      </c>
      <c r="S42" s="1" t="str">
        <f t="shared" ca="1" si="5"/>
        <v/>
      </c>
      <c r="T42" s="1" t="str">
        <f t="shared" ca="1" si="5"/>
        <v>.</v>
      </c>
      <c r="U42" s="1" t="str">
        <f t="shared" ca="1" si="5"/>
        <v>.</v>
      </c>
      <c r="V42" s="1" t="str">
        <f t="shared" ca="1" si="5"/>
        <v>.</v>
      </c>
      <c r="W42" s="192" t="str">
        <f t="shared" ca="1" si="5"/>
        <v/>
      </c>
      <c r="Y42" t="str">
        <f t="shared" si="2"/>
        <v>{0x36,0x49,0x56,0x20,0x50}, // 0x26  '&amp;'</v>
      </c>
    </row>
    <row r="43" spans="1:25" ht="15" thickBot="1" x14ac:dyDescent="0.35">
      <c r="A43" s="8">
        <v>39</v>
      </c>
      <c r="B43" t="str">
        <f t="shared" si="6"/>
        <v>0x27</v>
      </c>
      <c r="C43" s="225" t="s">
        <v>521</v>
      </c>
      <c r="D43" t="s">
        <v>367</v>
      </c>
      <c r="E43" t="s">
        <v>367</v>
      </c>
      <c r="F43" t="s">
        <v>489</v>
      </c>
      <c r="G43" t="s">
        <v>367</v>
      </c>
      <c r="H43" t="s">
        <v>367</v>
      </c>
      <c r="I43" s="1" t="str">
        <f t="shared" si="4"/>
        <v>'</v>
      </c>
      <c r="J43" t="s">
        <v>428</v>
      </c>
      <c r="K43" t="s">
        <v>428</v>
      </c>
      <c r="L43" t="s">
        <v>428</v>
      </c>
      <c r="M43" t="s">
        <v>490</v>
      </c>
      <c r="N43" t="s">
        <v>428</v>
      </c>
      <c r="O43" t="s">
        <v>428</v>
      </c>
      <c r="Q43">
        <v>1</v>
      </c>
      <c r="R43" s="226" t="str">
        <f t="shared" ca="1" si="5"/>
        <v/>
      </c>
      <c r="S43" s="227" t="str">
        <f t="shared" ca="1" si="5"/>
        <v/>
      </c>
      <c r="T43" s="227" t="str">
        <f t="shared" ca="1" si="5"/>
        <v/>
      </c>
      <c r="U43" s="227" t="str">
        <f t="shared" ca="1" si="5"/>
        <v/>
      </c>
      <c r="V43" s="227" t="str">
        <f t="shared" ca="1" si="5"/>
        <v/>
      </c>
      <c r="W43" s="228" t="str">
        <f t="shared" ca="1" si="5"/>
        <v/>
      </c>
      <c r="Y43" t="str">
        <f t="shared" si="2"/>
        <v>{0x00,0x00,0x07,0x00,0x00}, // 0x27  '''</v>
      </c>
    </row>
    <row r="44" spans="1:25" ht="15" thickTop="1" x14ac:dyDescent="0.3">
      <c r="A44" s="8">
        <v>40</v>
      </c>
      <c r="B44" t="str">
        <f t="shared" si="6"/>
        <v>0x28</v>
      </c>
      <c r="C44" s="224" t="s">
        <v>522</v>
      </c>
      <c r="D44" t="s">
        <v>367</v>
      </c>
      <c r="E44" t="s">
        <v>523</v>
      </c>
      <c r="F44" t="s">
        <v>524</v>
      </c>
      <c r="G44" t="s">
        <v>525</v>
      </c>
      <c r="H44" t="s">
        <v>367</v>
      </c>
      <c r="I44" s="1" t="str">
        <f t="shared" si="4"/>
        <v>(</v>
      </c>
      <c r="J44" t="s">
        <v>428</v>
      </c>
      <c r="K44" t="s">
        <v>428</v>
      </c>
      <c r="L44" t="s">
        <v>526</v>
      </c>
      <c r="M44" t="s">
        <v>527</v>
      </c>
      <c r="N44" t="s">
        <v>528</v>
      </c>
      <c r="O44" t="s">
        <v>428</v>
      </c>
      <c r="Y44" t="str">
        <f t="shared" si="2"/>
        <v>{0x00,0x1c,0x22,0x41,0x00}, // 0x28  '('</v>
      </c>
    </row>
    <row r="45" spans="1:25" x14ac:dyDescent="0.3">
      <c r="A45" s="8">
        <v>41</v>
      </c>
      <c r="B45" t="str">
        <f t="shared" si="6"/>
        <v>0x29</v>
      </c>
      <c r="C45" s="224" t="s">
        <v>529</v>
      </c>
      <c r="D45" t="s">
        <v>367</v>
      </c>
      <c r="E45" t="s">
        <v>525</v>
      </c>
      <c r="F45" t="s">
        <v>524</v>
      </c>
      <c r="G45" t="s">
        <v>523</v>
      </c>
      <c r="H45" t="s">
        <v>367</v>
      </c>
      <c r="I45" s="1" t="str">
        <f t="shared" si="4"/>
        <v>)</v>
      </c>
      <c r="J45" t="s">
        <v>428</v>
      </c>
      <c r="K45" t="s">
        <v>428</v>
      </c>
      <c r="L45" t="s">
        <v>528</v>
      </c>
      <c r="M45" t="s">
        <v>527</v>
      </c>
      <c r="N45" t="s">
        <v>526</v>
      </c>
      <c r="O45" t="s">
        <v>428</v>
      </c>
      <c r="Y45" t="str">
        <f t="shared" si="2"/>
        <v>{0x00,0x41,0x22,0x1c,0x00}, // 0x29  ')'</v>
      </c>
    </row>
    <row r="46" spans="1:25" x14ac:dyDescent="0.3">
      <c r="A46" s="8">
        <v>42</v>
      </c>
      <c r="B46" t="str">
        <f t="shared" si="6"/>
        <v>0x2A</v>
      </c>
      <c r="C46" s="224" t="s">
        <v>530</v>
      </c>
      <c r="D46" t="s">
        <v>491</v>
      </c>
      <c r="E46" t="s">
        <v>502</v>
      </c>
      <c r="F46" t="s">
        <v>531</v>
      </c>
      <c r="G46" t="s">
        <v>502</v>
      </c>
      <c r="H46" t="s">
        <v>491</v>
      </c>
      <c r="I46" s="1" t="str">
        <f t="shared" si="4"/>
        <v>*</v>
      </c>
      <c r="J46" t="s">
        <v>428</v>
      </c>
      <c r="K46" t="s">
        <v>493</v>
      </c>
      <c r="L46" t="s">
        <v>507</v>
      </c>
      <c r="M46" t="s">
        <v>532</v>
      </c>
      <c r="N46" t="s">
        <v>507</v>
      </c>
      <c r="O46" t="s">
        <v>493</v>
      </c>
      <c r="Y46" t="str">
        <f t="shared" si="2"/>
        <v>{0x14,0x08,0x3e,0x08,0x14}, // 0x2A  '*'</v>
      </c>
    </row>
    <row r="47" spans="1:25" x14ac:dyDescent="0.3">
      <c r="A47" s="8">
        <v>43</v>
      </c>
      <c r="B47" t="str">
        <f t="shared" si="6"/>
        <v>0x2B</v>
      </c>
      <c r="C47" s="225" t="s">
        <v>533</v>
      </c>
      <c r="D47" t="s">
        <v>502</v>
      </c>
      <c r="E47" t="s">
        <v>502</v>
      </c>
      <c r="F47" t="s">
        <v>531</v>
      </c>
      <c r="G47" t="s">
        <v>502</v>
      </c>
      <c r="H47" t="s">
        <v>502</v>
      </c>
      <c r="I47" s="1" t="str">
        <f t="shared" si="4"/>
        <v>+</v>
      </c>
      <c r="J47" t="s">
        <v>428</v>
      </c>
      <c r="K47" t="s">
        <v>507</v>
      </c>
      <c r="L47" t="s">
        <v>507</v>
      </c>
      <c r="M47" t="s">
        <v>532</v>
      </c>
      <c r="N47" t="s">
        <v>507</v>
      </c>
      <c r="O47" t="s">
        <v>507</v>
      </c>
      <c r="Y47" t="str">
        <f t="shared" si="2"/>
        <v>{0x08,0x08,0x3e,0x08,0x08}, // 0x2B  '+'</v>
      </c>
    </row>
    <row r="48" spans="1:25" x14ac:dyDescent="0.3">
      <c r="A48" s="8">
        <v>44</v>
      </c>
      <c r="B48" t="str">
        <f t="shared" si="6"/>
        <v>0x2C</v>
      </c>
      <c r="C48" s="224" t="s">
        <v>534</v>
      </c>
      <c r="D48" t="s">
        <v>367</v>
      </c>
      <c r="E48" t="s">
        <v>515</v>
      </c>
      <c r="F48" t="s">
        <v>535</v>
      </c>
      <c r="G48" t="s">
        <v>367</v>
      </c>
      <c r="H48" t="s">
        <v>367</v>
      </c>
      <c r="I48" s="1" t="str">
        <f t="shared" si="4"/>
        <v>,</v>
      </c>
      <c r="J48" t="s">
        <v>428</v>
      </c>
      <c r="K48" t="s">
        <v>428</v>
      </c>
      <c r="L48" t="s">
        <v>520</v>
      </c>
      <c r="M48" t="s">
        <v>536</v>
      </c>
      <c r="N48" t="s">
        <v>428</v>
      </c>
      <c r="O48" t="s">
        <v>428</v>
      </c>
      <c r="Y48" t="str">
        <f t="shared" si="2"/>
        <v>{0x00,0x50,0x30,0x00,0x00}, // 0x2C  ','</v>
      </c>
    </row>
    <row r="49" spans="1:25" x14ac:dyDescent="0.3">
      <c r="A49" s="8">
        <v>45</v>
      </c>
      <c r="B49" t="str">
        <f t="shared" si="6"/>
        <v>0x2D</v>
      </c>
      <c r="C49" s="225" t="s">
        <v>537</v>
      </c>
      <c r="D49" t="s">
        <v>502</v>
      </c>
      <c r="E49" t="s">
        <v>502</v>
      </c>
      <c r="F49" t="s">
        <v>502</v>
      </c>
      <c r="G49" t="s">
        <v>502</v>
      </c>
      <c r="H49" t="s">
        <v>502</v>
      </c>
      <c r="I49" s="1" t="str">
        <f t="shared" si="4"/>
        <v>-</v>
      </c>
      <c r="J49" t="s">
        <v>428</v>
      </c>
      <c r="K49" t="s">
        <v>507</v>
      </c>
      <c r="L49" t="s">
        <v>507</v>
      </c>
      <c r="M49" t="s">
        <v>507</v>
      </c>
      <c r="N49" t="s">
        <v>507</v>
      </c>
      <c r="O49" t="s">
        <v>507</v>
      </c>
      <c r="Y49" t="str">
        <f t="shared" si="2"/>
        <v>{0x08,0x08,0x08,0x08,0x08}, // 0x2D  '-'</v>
      </c>
    </row>
    <row r="50" spans="1:25" x14ac:dyDescent="0.3">
      <c r="A50" s="8">
        <v>46</v>
      </c>
      <c r="B50" t="str">
        <f t="shared" si="6"/>
        <v>0x2E</v>
      </c>
      <c r="C50" s="225" t="s">
        <v>370</v>
      </c>
      <c r="D50" t="s">
        <v>367</v>
      </c>
      <c r="E50" t="s">
        <v>538</v>
      </c>
      <c r="F50" t="s">
        <v>538</v>
      </c>
      <c r="G50" t="s">
        <v>367</v>
      </c>
      <c r="H50" t="s">
        <v>367</v>
      </c>
      <c r="I50" s="1" t="str">
        <f t="shared" si="4"/>
        <v>.</v>
      </c>
      <c r="J50" t="s">
        <v>428</v>
      </c>
      <c r="K50" t="s">
        <v>428</v>
      </c>
      <c r="L50" t="s">
        <v>539</v>
      </c>
      <c r="M50" t="s">
        <v>539</v>
      </c>
      <c r="N50" t="s">
        <v>428</v>
      </c>
      <c r="O50" t="s">
        <v>428</v>
      </c>
      <c r="Y50" t="str">
        <f t="shared" si="2"/>
        <v>{0x00,0x60,0x60,0x00,0x00}, // 0x2E  '.'</v>
      </c>
    </row>
    <row r="51" spans="1:25" x14ac:dyDescent="0.3">
      <c r="A51" s="8">
        <v>47</v>
      </c>
      <c r="B51" t="str">
        <f t="shared" si="6"/>
        <v>0x2F</v>
      </c>
      <c r="C51" s="225" t="s">
        <v>540</v>
      </c>
      <c r="D51" t="s">
        <v>514</v>
      </c>
      <c r="E51" t="s">
        <v>541</v>
      </c>
      <c r="F51" t="s">
        <v>502</v>
      </c>
      <c r="G51" t="s">
        <v>379</v>
      </c>
      <c r="H51" t="s">
        <v>542</v>
      </c>
      <c r="I51" s="1" t="str">
        <f t="shared" si="4"/>
        <v>/</v>
      </c>
      <c r="J51" t="s">
        <v>428</v>
      </c>
      <c r="K51" t="s">
        <v>519</v>
      </c>
      <c r="L51" t="s">
        <v>543</v>
      </c>
      <c r="M51" t="s">
        <v>507</v>
      </c>
      <c r="N51" t="s">
        <v>497</v>
      </c>
      <c r="O51" t="s">
        <v>544</v>
      </c>
      <c r="Y51" t="str">
        <f t="shared" si="2"/>
        <v>{0x20,0x10,0x08,0x04,0x02}, // 0x2F  '/'</v>
      </c>
    </row>
    <row r="52" spans="1:25" x14ac:dyDescent="0.3">
      <c r="A52" s="8">
        <v>48</v>
      </c>
      <c r="B52" t="str">
        <f t="shared" si="6"/>
        <v>0x30</v>
      </c>
      <c r="C52" s="224" t="s">
        <v>428</v>
      </c>
      <c r="D52" t="s">
        <v>531</v>
      </c>
      <c r="E52" t="s">
        <v>545</v>
      </c>
      <c r="F52" t="s">
        <v>512</v>
      </c>
      <c r="G52" t="s">
        <v>546</v>
      </c>
      <c r="H52" t="s">
        <v>531</v>
      </c>
      <c r="I52" s="1" t="str">
        <f t="shared" si="4"/>
        <v>0</v>
      </c>
      <c r="J52" t="s">
        <v>428</v>
      </c>
      <c r="K52" t="s">
        <v>532</v>
      </c>
      <c r="L52" t="s">
        <v>547</v>
      </c>
      <c r="M52" t="s">
        <v>517</v>
      </c>
      <c r="N52" t="s">
        <v>548</v>
      </c>
      <c r="O52" t="s">
        <v>532</v>
      </c>
      <c r="Y52" t="str">
        <f t="shared" si="2"/>
        <v>{0x3e,0x51,0x49,0x45,0x3e}, // 0x30  '0'</v>
      </c>
    </row>
    <row r="53" spans="1:25" x14ac:dyDescent="0.3">
      <c r="A53" s="8">
        <v>49</v>
      </c>
      <c r="B53" t="str">
        <f t="shared" si="6"/>
        <v>0x31</v>
      </c>
      <c r="C53" s="224" t="s">
        <v>549</v>
      </c>
      <c r="D53" t="s">
        <v>367</v>
      </c>
      <c r="E53" t="s">
        <v>550</v>
      </c>
      <c r="F53" t="s">
        <v>492</v>
      </c>
      <c r="G53" t="s">
        <v>551</v>
      </c>
      <c r="H53" t="s">
        <v>367</v>
      </c>
      <c r="I53" s="1" t="str">
        <f t="shared" si="4"/>
        <v>1</v>
      </c>
      <c r="J53" t="s">
        <v>428</v>
      </c>
      <c r="K53" t="s">
        <v>428</v>
      </c>
      <c r="L53" t="s">
        <v>552</v>
      </c>
      <c r="M53" t="s">
        <v>494</v>
      </c>
      <c r="N53" t="s">
        <v>553</v>
      </c>
      <c r="O53" t="s">
        <v>428</v>
      </c>
      <c r="Y53" t="str">
        <f t="shared" si="2"/>
        <v>{0x00,0x42,0x7f,0x40,0x00}, // 0x31  '1'</v>
      </c>
    </row>
    <row r="54" spans="1:25" x14ac:dyDescent="0.3">
      <c r="A54" s="8">
        <v>50</v>
      </c>
      <c r="B54" t="str">
        <f t="shared" si="6"/>
        <v>0x32</v>
      </c>
      <c r="C54" s="224" t="s">
        <v>554</v>
      </c>
      <c r="D54" t="s">
        <v>550</v>
      </c>
      <c r="E54" t="s">
        <v>555</v>
      </c>
      <c r="F54" t="s">
        <v>545</v>
      </c>
      <c r="G54" t="s">
        <v>512</v>
      </c>
      <c r="H54" t="s">
        <v>556</v>
      </c>
      <c r="I54" s="1" t="str">
        <f t="shared" si="4"/>
        <v>2</v>
      </c>
      <c r="J54" t="s">
        <v>428</v>
      </c>
      <c r="K54" t="s">
        <v>552</v>
      </c>
      <c r="L54" t="s">
        <v>557</v>
      </c>
      <c r="M54" t="s">
        <v>547</v>
      </c>
      <c r="N54" t="s">
        <v>517</v>
      </c>
      <c r="O54" t="s">
        <v>558</v>
      </c>
      <c r="Y54" t="str">
        <f t="shared" si="2"/>
        <v>{0x42,0x61,0x51,0x49,0x46}, // 0x32  '2'</v>
      </c>
    </row>
    <row r="55" spans="1:25" x14ac:dyDescent="0.3">
      <c r="A55" s="8">
        <v>51</v>
      </c>
      <c r="B55" t="str">
        <f t="shared" si="6"/>
        <v>0x33</v>
      </c>
      <c r="C55" s="224" t="s">
        <v>559</v>
      </c>
      <c r="D55" t="s">
        <v>560</v>
      </c>
      <c r="E55" t="s">
        <v>525</v>
      </c>
      <c r="F55" t="s">
        <v>546</v>
      </c>
      <c r="G55" t="s">
        <v>561</v>
      </c>
      <c r="H55" t="s">
        <v>562</v>
      </c>
      <c r="I55" s="1" t="str">
        <f t="shared" si="4"/>
        <v>3</v>
      </c>
      <c r="J55" t="s">
        <v>428</v>
      </c>
      <c r="K55" t="s">
        <v>563</v>
      </c>
      <c r="L55" t="s">
        <v>528</v>
      </c>
      <c r="M55" t="s">
        <v>548</v>
      </c>
      <c r="N55" t="s">
        <v>564</v>
      </c>
      <c r="O55" t="s">
        <v>565</v>
      </c>
      <c r="Y55" t="str">
        <f t="shared" si="2"/>
        <v>{0x21,0x41,0x45,0x4b,0x31}, // 0x33  '3'</v>
      </c>
    </row>
    <row r="56" spans="1:25" x14ac:dyDescent="0.3">
      <c r="A56" s="8">
        <v>52</v>
      </c>
      <c r="B56" t="str">
        <f t="shared" si="6"/>
        <v>0x34</v>
      </c>
      <c r="C56" s="224" t="s">
        <v>566</v>
      </c>
      <c r="D56" t="s">
        <v>567</v>
      </c>
      <c r="E56" t="s">
        <v>491</v>
      </c>
      <c r="F56" t="s">
        <v>568</v>
      </c>
      <c r="G56" t="s">
        <v>492</v>
      </c>
      <c r="H56" t="s">
        <v>541</v>
      </c>
      <c r="I56" s="1" t="str">
        <f t="shared" si="4"/>
        <v>4</v>
      </c>
      <c r="J56" t="s">
        <v>428</v>
      </c>
      <c r="K56" t="s">
        <v>569</v>
      </c>
      <c r="L56" t="s">
        <v>493</v>
      </c>
      <c r="M56" t="s">
        <v>570</v>
      </c>
      <c r="N56" t="s">
        <v>494</v>
      </c>
      <c r="O56" t="s">
        <v>543</v>
      </c>
      <c r="Y56" t="str">
        <f t="shared" si="2"/>
        <v>{0x18,0x14,0x12,0x7f,0x10}, // 0x34  '4'</v>
      </c>
    </row>
    <row r="57" spans="1:25" x14ac:dyDescent="0.3">
      <c r="A57" s="8">
        <v>53</v>
      </c>
      <c r="B57" t="str">
        <f t="shared" si="6"/>
        <v>0x35</v>
      </c>
      <c r="C57" s="224" t="s">
        <v>571</v>
      </c>
      <c r="D57" t="s">
        <v>572</v>
      </c>
      <c r="E57" t="s">
        <v>546</v>
      </c>
      <c r="F57" t="s">
        <v>546</v>
      </c>
      <c r="G57" t="s">
        <v>546</v>
      </c>
      <c r="H57" t="s">
        <v>573</v>
      </c>
      <c r="I57" s="1" t="str">
        <f t="shared" si="4"/>
        <v>5</v>
      </c>
      <c r="J57" t="s">
        <v>428</v>
      </c>
      <c r="K57" t="s">
        <v>574</v>
      </c>
      <c r="L57" t="s">
        <v>548</v>
      </c>
      <c r="M57" t="s">
        <v>548</v>
      </c>
      <c r="N57" t="s">
        <v>548</v>
      </c>
      <c r="O57" t="s">
        <v>575</v>
      </c>
      <c r="Y57" t="str">
        <f t="shared" si="2"/>
        <v>{0x27,0x45,0x45,0x45,0x39}, // 0x35  '5'</v>
      </c>
    </row>
    <row r="58" spans="1:25" x14ac:dyDescent="0.3">
      <c r="A58" s="8">
        <v>54</v>
      </c>
      <c r="B58" t="str">
        <f t="shared" si="6"/>
        <v>0x36</v>
      </c>
      <c r="C58" s="224" t="s">
        <v>576</v>
      </c>
      <c r="D58" t="s">
        <v>577</v>
      </c>
      <c r="E58" t="s">
        <v>578</v>
      </c>
      <c r="F58" t="s">
        <v>512</v>
      </c>
      <c r="G58" t="s">
        <v>512</v>
      </c>
      <c r="H58" t="s">
        <v>535</v>
      </c>
      <c r="I58" s="1" t="str">
        <f t="shared" si="4"/>
        <v>6</v>
      </c>
      <c r="J58" t="s">
        <v>428</v>
      </c>
      <c r="K58" t="s">
        <v>579</v>
      </c>
      <c r="L58" t="s">
        <v>580</v>
      </c>
      <c r="M58" t="s">
        <v>517</v>
      </c>
      <c r="N58" t="s">
        <v>517</v>
      </c>
      <c r="O58" t="s">
        <v>536</v>
      </c>
      <c r="Y58" t="str">
        <f t="shared" si="2"/>
        <v>{0x3c,0x4a,0x49,0x49,0x30}, // 0x36  '6'</v>
      </c>
    </row>
    <row r="59" spans="1:25" x14ac:dyDescent="0.3">
      <c r="A59" s="8">
        <v>55</v>
      </c>
      <c r="B59" t="str">
        <f t="shared" si="6"/>
        <v>0x37</v>
      </c>
      <c r="C59" s="224" t="s">
        <v>581</v>
      </c>
      <c r="D59" t="s">
        <v>582</v>
      </c>
      <c r="E59" t="s">
        <v>583</v>
      </c>
      <c r="F59" t="s">
        <v>584</v>
      </c>
      <c r="G59" t="s">
        <v>585</v>
      </c>
      <c r="H59" t="s">
        <v>586</v>
      </c>
      <c r="I59" s="1" t="str">
        <f t="shared" si="4"/>
        <v>7</v>
      </c>
      <c r="J59" t="s">
        <v>428</v>
      </c>
      <c r="K59" t="s">
        <v>549</v>
      </c>
      <c r="L59" t="s">
        <v>587</v>
      </c>
      <c r="M59" t="s">
        <v>588</v>
      </c>
      <c r="N59" t="s">
        <v>589</v>
      </c>
      <c r="O59" t="s">
        <v>590</v>
      </c>
      <c r="Y59" t="str">
        <f t="shared" si="2"/>
        <v>{0x01,0x71,0x09,0x05,0x03}, // 0x37  '7'</v>
      </c>
    </row>
    <row r="60" spans="1:25" x14ac:dyDescent="0.3">
      <c r="A60" s="8">
        <v>56</v>
      </c>
      <c r="B60" t="str">
        <f t="shared" si="6"/>
        <v>0x38</v>
      </c>
      <c r="C60" s="224" t="s">
        <v>591</v>
      </c>
      <c r="D60" t="s">
        <v>511</v>
      </c>
      <c r="E60" t="s">
        <v>512</v>
      </c>
      <c r="F60" t="s">
        <v>512</v>
      </c>
      <c r="G60" t="s">
        <v>512</v>
      </c>
      <c r="H60" t="s">
        <v>511</v>
      </c>
      <c r="I60" s="1" t="str">
        <f t="shared" si="4"/>
        <v>8</v>
      </c>
      <c r="J60" t="s">
        <v>428</v>
      </c>
      <c r="K60" t="s">
        <v>516</v>
      </c>
      <c r="L60" t="s">
        <v>517</v>
      </c>
      <c r="M60" t="s">
        <v>517</v>
      </c>
      <c r="N60" t="s">
        <v>517</v>
      </c>
      <c r="O60" t="s">
        <v>516</v>
      </c>
      <c r="Y60" t="str">
        <f t="shared" si="2"/>
        <v>{0x36,0x49,0x49,0x49,0x36}, // 0x38  '8'</v>
      </c>
    </row>
    <row r="61" spans="1:25" x14ac:dyDescent="0.3">
      <c r="A61" s="8">
        <v>57</v>
      </c>
      <c r="B61" t="str">
        <f t="shared" si="6"/>
        <v>0x39</v>
      </c>
      <c r="C61" s="224" t="s">
        <v>592</v>
      </c>
      <c r="D61" t="s">
        <v>422</v>
      </c>
      <c r="E61" t="s">
        <v>512</v>
      </c>
      <c r="F61" t="s">
        <v>512</v>
      </c>
      <c r="G61" t="s">
        <v>593</v>
      </c>
      <c r="H61" t="s">
        <v>496</v>
      </c>
      <c r="I61" s="1" t="str">
        <f t="shared" si="4"/>
        <v>9</v>
      </c>
      <c r="J61" t="s">
        <v>428</v>
      </c>
      <c r="K61" t="s">
        <v>594</v>
      </c>
      <c r="L61" t="s">
        <v>517</v>
      </c>
      <c r="M61" t="s">
        <v>517</v>
      </c>
      <c r="N61" t="s">
        <v>595</v>
      </c>
      <c r="O61" t="s">
        <v>498</v>
      </c>
      <c r="Y61" t="str">
        <f t="shared" si="2"/>
        <v>{0x06,0x49,0x49,0x29,0x1e}, // 0x39  '9'</v>
      </c>
    </row>
    <row r="62" spans="1:25" x14ac:dyDescent="0.3">
      <c r="A62" s="8">
        <v>58</v>
      </c>
      <c r="B62" t="str">
        <f t="shared" si="6"/>
        <v>0x3A</v>
      </c>
      <c r="C62" s="224" t="s">
        <v>596</v>
      </c>
      <c r="D62" t="s">
        <v>367</v>
      </c>
      <c r="E62" t="s">
        <v>511</v>
      </c>
      <c r="F62" t="s">
        <v>511</v>
      </c>
      <c r="G62" t="s">
        <v>367</v>
      </c>
      <c r="H62" t="s">
        <v>367</v>
      </c>
      <c r="I62" s="1" t="str">
        <f t="shared" si="4"/>
        <v>:</v>
      </c>
      <c r="J62" t="s">
        <v>428</v>
      </c>
      <c r="K62" t="s">
        <v>428</v>
      </c>
      <c r="L62" t="s">
        <v>516</v>
      </c>
      <c r="M62" t="s">
        <v>516</v>
      </c>
      <c r="N62" t="s">
        <v>428</v>
      </c>
      <c r="O62" t="s">
        <v>428</v>
      </c>
      <c r="Y62" t="str">
        <f t="shared" si="2"/>
        <v>{0x00,0x36,0x36,0x00,0x00}, // 0x3A  ':'</v>
      </c>
    </row>
    <row r="63" spans="1:25" x14ac:dyDescent="0.3">
      <c r="A63" s="8">
        <v>59</v>
      </c>
      <c r="B63" t="str">
        <f t="shared" si="6"/>
        <v>0x3B</v>
      </c>
      <c r="C63" s="224" t="s">
        <v>597</v>
      </c>
      <c r="D63" t="s">
        <v>367</v>
      </c>
      <c r="E63" t="s">
        <v>513</v>
      </c>
      <c r="F63" t="s">
        <v>511</v>
      </c>
      <c r="G63" t="s">
        <v>367</v>
      </c>
      <c r="H63" t="s">
        <v>367</v>
      </c>
      <c r="I63" s="1" t="str">
        <f t="shared" si="4"/>
        <v>;</v>
      </c>
      <c r="J63" t="s">
        <v>428</v>
      </c>
      <c r="K63" t="s">
        <v>428</v>
      </c>
      <c r="L63" t="s">
        <v>518</v>
      </c>
      <c r="M63" t="s">
        <v>516</v>
      </c>
      <c r="N63" t="s">
        <v>428</v>
      </c>
      <c r="O63" t="s">
        <v>428</v>
      </c>
      <c r="Y63" t="str">
        <f t="shared" si="2"/>
        <v>{0x00,0x56,0x36,0x00,0x00}, // 0x3B  ';'</v>
      </c>
    </row>
    <row r="64" spans="1:25" x14ac:dyDescent="0.3">
      <c r="A64" s="8">
        <v>60</v>
      </c>
      <c r="B64" t="str">
        <f t="shared" si="6"/>
        <v>0x3C</v>
      </c>
      <c r="C64" s="224" t="s">
        <v>598</v>
      </c>
      <c r="D64" t="s">
        <v>502</v>
      </c>
      <c r="E64" t="s">
        <v>491</v>
      </c>
      <c r="F64" t="s">
        <v>524</v>
      </c>
      <c r="G64" t="s">
        <v>525</v>
      </c>
      <c r="H64" t="s">
        <v>367</v>
      </c>
      <c r="I64" s="1" t="str">
        <f t="shared" si="4"/>
        <v>&lt;</v>
      </c>
      <c r="J64" t="s">
        <v>428</v>
      </c>
      <c r="K64" t="s">
        <v>507</v>
      </c>
      <c r="L64" t="s">
        <v>493</v>
      </c>
      <c r="M64" t="s">
        <v>527</v>
      </c>
      <c r="N64" t="s">
        <v>528</v>
      </c>
      <c r="O64" t="s">
        <v>428</v>
      </c>
      <c r="Y64" t="str">
        <f t="shared" si="2"/>
        <v>{0x08,0x14,0x22,0x41,0x00}, // 0x3C  '&lt;'</v>
      </c>
    </row>
    <row r="65" spans="1:25" x14ac:dyDescent="0.3">
      <c r="A65" s="8">
        <v>61</v>
      </c>
      <c r="B65" t="str">
        <f t="shared" si="6"/>
        <v>0x3D</v>
      </c>
      <c r="C65" s="224" t="s">
        <v>599</v>
      </c>
      <c r="D65" t="s">
        <v>491</v>
      </c>
      <c r="E65" t="s">
        <v>491</v>
      </c>
      <c r="F65" t="s">
        <v>491</v>
      </c>
      <c r="G65" t="s">
        <v>491</v>
      </c>
      <c r="H65" t="s">
        <v>491</v>
      </c>
      <c r="I65" s="1" t="str">
        <f t="shared" si="4"/>
        <v>=</v>
      </c>
      <c r="J65" t="s">
        <v>428</v>
      </c>
      <c r="K65" t="s">
        <v>493</v>
      </c>
      <c r="L65" t="s">
        <v>493</v>
      </c>
      <c r="M65" t="s">
        <v>493</v>
      </c>
      <c r="N65" t="s">
        <v>493</v>
      </c>
      <c r="O65" t="s">
        <v>493</v>
      </c>
      <c r="Y65" t="str">
        <f t="shared" si="2"/>
        <v>{0x14,0x14,0x14,0x14,0x14}, // 0x3D  '='</v>
      </c>
    </row>
    <row r="66" spans="1:25" x14ac:dyDescent="0.3">
      <c r="A66" s="8">
        <v>62</v>
      </c>
      <c r="B66" t="str">
        <f t="shared" si="6"/>
        <v>0x3E</v>
      </c>
      <c r="C66" s="224" t="s">
        <v>600</v>
      </c>
      <c r="D66" t="s">
        <v>367</v>
      </c>
      <c r="E66" t="s">
        <v>525</v>
      </c>
      <c r="F66" t="s">
        <v>524</v>
      </c>
      <c r="G66" t="s">
        <v>491</v>
      </c>
      <c r="H66" t="s">
        <v>502</v>
      </c>
      <c r="I66" s="1" t="str">
        <f t="shared" si="4"/>
        <v>&gt;</v>
      </c>
      <c r="J66" t="s">
        <v>428</v>
      </c>
      <c r="K66" t="s">
        <v>428</v>
      </c>
      <c r="L66" t="s">
        <v>528</v>
      </c>
      <c r="M66" t="s">
        <v>527</v>
      </c>
      <c r="N66" t="s">
        <v>493</v>
      </c>
      <c r="O66" t="s">
        <v>507</v>
      </c>
      <c r="Y66" t="str">
        <f t="shared" si="2"/>
        <v>{0x00,0x41,0x22,0x14,0x08}, // 0x3E  '&gt;'</v>
      </c>
    </row>
    <row r="67" spans="1:25" x14ac:dyDescent="0.3">
      <c r="A67" s="8">
        <v>63</v>
      </c>
      <c r="B67" t="str">
        <f t="shared" si="6"/>
        <v>0x3F</v>
      </c>
      <c r="C67" s="224" t="s">
        <v>340</v>
      </c>
      <c r="D67" t="s">
        <v>542</v>
      </c>
      <c r="E67" t="s">
        <v>582</v>
      </c>
      <c r="F67" t="s">
        <v>545</v>
      </c>
      <c r="G67" t="s">
        <v>584</v>
      </c>
      <c r="H67" t="s">
        <v>422</v>
      </c>
      <c r="I67" s="1" t="str">
        <f t="shared" si="4"/>
        <v>?</v>
      </c>
      <c r="J67" t="s">
        <v>428</v>
      </c>
      <c r="K67" t="s">
        <v>544</v>
      </c>
      <c r="L67" t="s">
        <v>549</v>
      </c>
      <c r="M67" t="s">
        <v>547</v>
      </c>
      <c r="N67" t="s">
        <v>588</v>
      </c>
      <c r="O67" t="s">
        <v>594</v>
      </c>
      <c r="Y67" t="str">
        <f t="shared" si="2"/>
        <v>{0x02,0x01,0x51,0x09,0x06}, // 0x3F  '?'</v>
      </c>
    </row>
    <row r="68" spans="1:25" x14ac:dyDescent="0.3">
      <c r="A68" s="8">
        <v>64</v>
      </c>
      <c r="B68" t="str">
        <f t="shared" si="6"/>
        <v>0x40</v>
      </c>
      <c r="C68" s="224" t="s">
        <v>601</v>
      </c>
      <c r="D68" t="s">
        <v>531</v>
      </c>
      <c r="E68" t="s">
        <v>525</v>
      </c>
      <c r="F68" t="s">
        <v>602</v>
      </c>
      <c r="G68" t="s">
        <v>512</v>
      </c>
      <c r="H68" t="s">
        <v>603</v>
      </c>
      <c r="I68" s="1" t="str">
        <f t="shared" si="4"/>
        <v>@</v>
      </c>
      <c r="J68" t="s">
        <v>428</v>
      </c>
      <c r="K68" t="s">
        <v>532</v>
      </c>
      <c r="L68" t="s">
        <v>528</v>
      </c>
      <c r="M68" t="s">
        <v>604</v>
      </c>
      <c r="N68" t="s">
        <v>517</v>
      </c>
      <c r="O68" t="s">
        <v>605</v>
      </c>
      <c r="Y68" t="str">
        <f t="shared" ref="Y68:Y131" si="7">"{"  &amp; D68 &amp; "," &amp; E68 &amp; "," &amp; F68 &amp; "," &amp; G68 &amp; "," &amp; H68 &amp; "}, // "&amp; B68 &amp; "  '" &amp; C68&amp;"'"</f>
        <v>{0x3e,0x41,0x5d,0x49,0x4e}, // 0x40  '@'</v>
      </c>
    </row>
    <row r="69" spans="1:25" x14ac:dyDescent="0.3">
      <c r="A69" s="8">
        <v>65</v>
      </c>
      <c r="B69" t="str">
        <f t="shared" si="6"/>
        <v>0x41</v>
      </c>
      <c r="C69" s="224" t="s">
        <v>606</v>
      </c>
      <c r="D69" t="s">
        <v>607</v>
      </c>
      <c r="E69" t="s">
        <v>584</v>
      </c>
      <c r="F69" t="s">
        <v>584</v>
      </c>
      <c r="G69" t="s">
        <v>584</v>
      </c>
      <c r="H69" t="s">
        <v>607</v>
      </c>
      <c r="I69" s="1" t="str">
        <f t="shared" si="4"/>
        <v>A</v>
      </c>
      <c r="J69" t="s">
        <v>428</v>
      </c>
      <c r="K69" t="s">
        <v>608</v>
      </c>
      <c r="L69" t="s">
        <v>588</v>
      </c>
      <c r="M69" t="s">
        <v>588</v>
      </c>
      <c r="N69" t="s">
        <v>588</v>
      </c>
      <c r="O69" t="s">
        <v>608</v>
      </c>
      <c r="Y69" t="str">
        <f t="shared" si="7"/>
        <v>{0x7e,0x09,0x09,0x09,0x7e}, // 0x41  'A'</v>
      </c>
    </row>
    <row r="70" spans="1:25" x14ac:dyDescent="0.3">
      <c r="A70" s="8">
        <v>66</v>
      </c>
      <c r="B70" t="str">
        <f t="shared" si="6"/>
        <v>0x42</v>
      </c>
      <c r="C70" s="224" t="s">
        <v>609</v>
      </c>
      <c r="D70" t="s">
        <v>492</v>
      </c>
      <c r="E70" t="s">
        <v>512</v>
      </c>
      <c r="F70" t="s">
        <v>512</v>
      </c>
      <c r="G70" t="s">
        <v>512</v>
      </c>
      <c r="H70" t="s">
        <v>511</v>
      </c>
      <c r="I70" s="1" t="str">
        <f t="shared" si="4"/>
        <v>B</v>
      </c>
      <c r="J70" t="s">
        <v>428</v>
      </c>
      <c r="K70" t="s">
        <v>494</v>
      </c>
      <c r="L70" t="s">
        <v>517</v>
      </c>
      <c r="M70" t="s">
        <v>517</v>
      </c>
      <c r="N70" t="s">
        <v>517</v>
      </c>
      <c r="O70" t="s">
        <v>516</v>
      </c>
      <c r="Y70" t="str">
        <f t="shared" si="7"/>
        <v>{0x7f,0x49,0x49,0x49,0x36}, // 0x42  'B'</v>
      </c>
    </row>
    <row r="71" spans="1:25" x14ac:dyDescent="0.3">
      <c r="A71" s="8">
        <v>67</v>
      </c>
      <c r="B71" t="str">
        <f t="shared" si="6"/>
        <v>0x43</v>
      </c>
      <c r="C71" s="224" t="s">
        <v>610</v>
      </c>
      <c r="D71" t="s">
        <v>531</v>
      </c>
      <c r="E71" t="s">
        <v>525</v>
      </c>
      <c r="F71" t="s">
        <v>525</v>
      </c>
      <c r="G71" t="s">
        <v>525</v>
      </c>
      <c r="H71" t="s">
        <v>524</v>
      </c>
      <c r="I71" s="1" t="str">
        <f t="shared" si="4"/>
        <v>C</v>
      </c>
      <c r="J71" t="s">
        <v>428</v>
      </c>
      <c r="K71" t="s">
        <v>532</v>
      </c>
      <c r="L71" t="s">
        <v>528</v>
      </c>
      <c r="M71" t="s">
        <v>528</v>
      </c>
      <c r="N71" t="s">
        <v>528</v>
      </c>
      <c r="O71" t="s">
        <v>527</v>
      </c>
      <c r="Y71" t="str">
        <f t="shared" si="7"/>
        <v>{0x3e,0x41,0x41,0x41,0x22}, // 0x43  'C'</v>
      </c>
    </row>
    <row r="72" spans="1:25" x14ac:dyDescent="0.3">
      <c r="A72" s="8">
        <v>68</v>
      </c>
      <c r="B72" t="str">
        <f t="shared" si="6"/>
        <v>0x44</v>
      </c>
      <c r="C72" s="224" t="s">
        <v>611</v>
      </c>
      <c r="D72" t="s">
        <v>492</v>
      </c>
      <c r="E72" t="s">
        <v>525</v>
      </c>
      <c r="F72" t="s">
        <v>525</v>
      </c>
      <c r="G72" t="s">
        <v>525</v>
      </c>
      <c r="H72" t="s">
        <v>531</v>
      </c>
      <c r="I72" s="1" t="str">
        <f t="shared" si="4"/>
        <v>D</v>
      </c>
      <c r="J72" t="s">
        <v>428</v>
      </c>
      <c r="K72" t="s">
        <v>494</v>
      </c>
      <c r="L72" t="s">
        <v>528</v>
      </c>
      <c r="M72" t="s">
        <v>528</v>
      </c>
      <c r="N72" t="s">
        <v>528</v>
      </c>
      <c r="O72" t="s">
        <v>532</v>
      </c>
      <c r="Y72" t="str">
        <f t="shared" si="7"/>
        <v>{0x7f,0x41,0x41,0x41,0x3e}, // 0x44  'D'</v>
      </c>
    </row>
    <row r="73" spans="1:25" x14ac:dyDescent="0.3">
      <c r="A73" s="8">
        <v>69</v>
      </c>
      <c r="B73" t="str">
        <f t="shared" si="6"/>
        <v>0x45</v>
      </c>
      <c r="C73" s="224" t="s">
        <v>612</v>
      </c>
      <c r="D73" t="s">
        <v>492</v>
      </c>
      <c r="E73" t="s">
        <v>512</v>
      </c>
      <c r="F73" t="s">
        <v>512</v>
      </c>
      <c r="G73" t="s">
        <v>512</v>
      </c>
      <c r="H73" t="s">
        <v>525</v>
      </c>
      <c r="I73" s="1" t="str">
        <f t="shared" si="4"/>
        <v>E</v>
      </c>
      <c r="J73" t="s">
        <v>428</v>
      </c>
      <c r="K73" t="s">
        <v>494</v>
      </c>
      <c r="L73" t="s">
        <v>517</v>
      </c>
      <c r="M73" t="s">
        <v>517</v>
      </c>
      <c r="N73" t="s">
        <v>517</v>
      </c>
      <c r="O73" t="s">
        <v>528</v>
      </c>
      <c r="Y73" t="str">
        <f t="shared" si="7"/>
        <v>{0x7f,0x49,0x49,0x49,0x41}, // 0x45  'E'</v>
      </c>
    </row>
    <row r="74" spans="1:25" x14ac:dyDescent="0.3">
      <c r="A74" s="8">
        <v>70</v>
      </c>
      <c r="B74" t="str">
        <f t="shared" si="6"/>
        <v>0x46</v>
      </c>
      <c r="C74" s="224" t="s">
        <v>613</v>
      </c>
      <c r="D74" t="s">
        <v>492</v>
      </c>
      <c r="E74" t="s">
        <v>584</v>
      </c>
      <c r="F74" t="s">
        <v>584</v>
      </c>
      <c r="G74" t="s">
        <v>584</v>
      </c>
      <c r="H74" t="s">
        <v>582</v>
      </c>
      <c r="I74" s="1" t="str">
        <f t="shared" si="4"/>
        <v>F</v>
      </c>
      <c r="J74" t="s">
        <v>428</v>
      </c>
      <c r="K74" t="s">
        <v>494</v>
      </c>
      <c r="L74" t="s">
        <v>588</v>
      </c>
      <c r="M74" t="s">
        <v>588</v>
      </c>
      <c r="N74" t="s">
        <v>588</v>
      </c>
      <c r="O74" t="s">
        <v>549</v>
      </c>
      <c r="Y74" t="str">
        <f t="shared" si="7"/>
        <v>{0x7f,0x09,0x09,0x09,0x01}, // 0x46  'F'</v>
      </c>
    </row>
    <row r="75" spans="1:25" x14ac:dyDescent="0.3">
      <c r="A75" s="8">
        <v>71</v>
      </c>
      <c r="B75" t="str">
        <f t="shared" si="6"/>
        <v>0x47</v>
      </c>
      <c r="C75" s="224" t="s">
        <v>614</v>
      </c>
      <c r="D75" t="s">
        <v>531</v>
      </c>
      <c r="E75" t="s">
        <v>525</v>
      </c>
      <c r="F75" t="s">
        <v>512</v>
      </c>
      <c r="G75" t="s">
        <v>512</v>
      </c>
      <c r="H75" t="s">
        <v>615</v>
      </c>
      <c r="I75" s="1" t="str">
        <f t="shared" si="4"/>
        <v>G</v>
      </c>
      <c r="J75" t="s">
        <v>428</v>
      </c>
      <c r="K75" t="s">
        <v>532</v>
      </c>
      <c r="L75" t="s">
        <v>528</v>
      </c>
      <c r="M75" t="s">
        <v>517</v>
      </c>
      <c r="N75" t="s">
        <v>517</v>
      </c>
      <c r="O75" t="s">
        <v>616</v>
      </c>
      <c r="Y75" t="str">
        <f t="shared" si="7"/>
        <v>{0x3e,0x41,0x49,0x49,0x7a}, // 0x47  'G'</v>
      </c>
    </row>
    <row r="76" spans="1:25" x14ac:dyDescent="0.3">
      <c r="A76" s="8">
        <v>72</v>
      </c>
      <c r="B76" t="str">
        <f t="shared" si="6"/>
        <v>0x48</v>
      </c>
      <c r="C76" s="224" t="s">
        <v>617</v>
      </c>
      <c r="D76" t="s">
        <v>492</v>
      </c>
      <c r="E76" t="s">
        <v>502</v>
      </c>
      <c r="F76" t="s">
        <v>502</v>
      </c>
      <c r="G76" t="s">
        <v>502</v>
      </c>
      <c r="H76" t="s">
        <v>492</v>
      </c>
      <c r="I76" s="1" t="str">
        <f t="shared" si="4"/>
        <v>H</v>
      </c>
      <c r="J76" t="s">
        <v>428</v>
      </c>
      <c r="K76" t="s">
        <v>494</v>
      </c>
      <c r="L76" t="s">
        <v>507</v>
      </c>
      <c r="M76" t="s">
        <v>507</v>
      </c>
      <c r="N76" t="s">
        <v>507</v>
      </c>
      <c r="O76" t="s">
        <v>494</v>
      </c>
      <c r="Y76" t="str">
        <f t="shared" si="7"/>
        <v>{0x7f,0x08,0x08,0x08,0x7f}, // 0x48  'H'</v>
      </c>
    </row>
    <row r="77" spans="1:25" x14ac:dyDescent="0.3">
      <c r="A77" s="8">
        <v>73</v>
      </c>
      <c r="B77" t="str">
        <f t="shared" si="6"/>
        <v>0x49</v>
      </c>
      <c r="C77" s="224" t="s">
        <v>618</v>
      </c>
      <c r="D77" t="s">
        <v>367</v>
      </c>
      <c r="E77" t="s">
        <v>525</v>
      </c>
      <c r="F77" t="s">
        <v>492</v>
      </c>
      <c r="G77" t="s">
        <v>525</v>
      </c>
      <c r="H77" t="s">
        <v>367</v>
      </c>
      <c r="I77" s="1" t="str">
        <f t="shared" si="4"/>
        <v>I</v>
      </c>
      <c r="J77" t="s">
        <v>428</v>
      </c>
      <c r="K77" t="s">
        <v>428</v>
      </c>
      <c r="L77" t="s">
        <v>528</v>
      </c>
      <c r="M77" t="s">
        <v>494</v>
      </c>
      <c r="N77" t="s">
        <v>528</v>
      </c>
      <c r="O77" t="s">
        <v>428</v>
      </c>
      <c r="Y77" t="str">
        <f t="shared" si="7"/>
        <v>{0x00,0x41,0x7f,0x41,0x00}, // 0x49  'I'</v>
      </c>
    </row>
    <row r="78" spans="1:25" x14ac:dyDescent="0.3">
      <c r="A78" s="8">
        <v>74</v>
      </c>
      <c r="B78" t="str">
        <f t="shared" si="6"/>
        <v>0x4A</v>
      </c>
      <c r="C78" s="224" t="s">
        <v>619</v>
      </c>
      <c r="D78" t="s">
        <v>514</v>
      </c>
      <c r="E78" t="s">
        <v>551</v>
      </c>
      <c r="F78" t="s">
        <v>525</v>
      </c>
      <c r="G78" t="s">
        <v>620</v>
      </c>
      <c r="H78" t="s">
        <v>582</v>
      </c>
      <c r="I78" s="1" t="str">
        <f t="shared" si="4"/>
        <v>J</v>
      </c>
      <c r="J78" t="s">
        <v>428</v>
      </c>
      <c r="K78" t="s">
        <v>519</v>
      </c>
      <c r="L78" t="s">
        <v>553</v>
      </c>
      <c r="M78" t="s">
        <v>528</v>
      </c>
      <c r="N78" t="s">
        <v>621</v>
      </c>
      <c r="O78" t="s">
        <v>549</v>
      </c>
      <c r="Y78" t="str">
        <f t="shared" si="7"/>
        <v>{0x20,0x40,0x41,0x3f,0x01}, // 0x4A  'J'</v>
      </c>
    </row>
    <row r="79" spans="1:25" x14ac:dyDescent="0.3">
      <c r="A79" s="8">
        <v>75</v>
      </c>
      <c r="B79" t="str">
        <f t="shared" si="6"/>
        <v>0x4B</v>
      </c>
      <c r="C79" s="224" t="s">
        <v>622</v>
      </c>
      <c r="D79" t="s">
        <v>492</v>
      </c>
      <c r="E79" t="s">
        <v>502</v>
      </c>
      <c r="F79" t="s">
        <v>491</v>
      </c>
      <c r="G79" t="s">
        <v>524</v>
      </c>
      <c r="H79" t="s">
        <v>525</v>
      </c>
      <c r="I79" s="1" t="str">
        <f t="shared" si="4"/>
        <v>K</v>
      </c>
      <c r="J79" t="s">
        <v>428</v>
      </c>
      <c r="K79" t="s">
        <v>494</v>
      </c>
      <c r="L79" t="s">
        <v>507</v>
      </c>
      <c r="M79" t="s">
        <v>493</v>
      </c>
      <c r="N79" t="s">
        <v>527</v>
      </c>
      <c r="O79" t="s">
        <v>528</v>
      </c>
      <c r="Y79" t="str">
        <f t="shared" si="7"/>
        <v>{0x7f,0x08,0x14,0x22,0x41}, // 0x4B  'K'</v>
      </c>
    </row>
    <row r="80" spans="1:25" x14ac:dyDescent="0.3">
      <c r="A80" s="8">
        <v>76</v>
      </c>
      <c r="B80" t="str">
        <f t="shared" si="6"/>
        <v>0x4C</v>
      </c>
      <c r="C80" s="224" t="s">
        <v>623</v>
      </c>
      <c r="D80" t="s">
        <v>492</v>
      </c>
      <c r="E80" t="s">
        <v>551</v>
      </c>
      <c r="F80" t="s">
        <v>551</v>
      </c>
      <c r="G80" t="s">
        <v>551</v>
      </c>
      <c r="H80" t="s">
        <v>551</v>
      </c>
      <c r="I80" s="1" t="str">
        <f t="shared" si="4"/>
        <v>L</v>
      </c>
      <c r="J80" t="s">
        <v>428</v>
      </c>
      <c r="K80" t="s">
        <v>494</v>
      </c>
      <c r="L80" t="s">
        <v>553</v>
      </c>
      <c r="M80" t="s">
        <v>553</v>
      </c>
      <c r="N80" t="s">
        <v>553</v>
      </c>
      <c r="O80" t="s">
        <v>553</v>
      </c>
      <c r="Y80" t="str">
        <f t="shared" si="7"/>
        <v>{0x7f,0x40,0x40,0x40,0x40}, // 0x4C  'L'</v>
      </c>
    </row>
    <row r="81" spans="1:25" x14ac:dyDescent="0.3">
      <c r="A81" s="8">
        <v>77</v>
      </c>
      <c r="B81" t="str">
        <f t="shared" si="6"/>
        <v>0x4D</v>
      </c>
      <c r="C81" s="224" t="s">
        <v>624</v>
      </c>
      <c r="D81" t="s">
        <v>492</v>
      </c>
      <c r="E81" t="s">
        <v>542</v>
      </c>
      <c r="F81" t="s">
        <v>625</v>
      </c>
      <c r="G81" t="s">
        <v>542</v>
      </c>
      <c r="H81" t="s">
        <v>492</v>
      </c>
      <c r="I81" s="1" t="str">
        <f t="shared" si="4"/>
        <v>M</v>
      </c>
      <c r="J81" t="s">
        <v>428</v>
      </c>
      <c r="K81" t="s">
        <v>494</v>
      </c>
      <c r="L81" t="s">
        <v>544</v>
      </c>
      <c r="M81" t="s">
        <v>626</v>
      </c>
      <c r="N81" t="s">
        <v>544</v>
      </c>
      <c r="O81" t="s">
        <v>494</v>
      </c>
      <c r="Y81" t="str">
        <f t="shared" si="7"/>
        <v>{0x7f,0x02,0x0c,0x02,0x7f}, // 0x4D  'M'</v>
      </c>
    </row>
    <row r="82" spans="1:25" x14ac:dyDescent="0.3">
      <c r="A82" s="8">
        <v>78</v>
      </c>
      <c r="B82" t="str">
        <f t="shared" si="6"/>
        <v>0x4E</v>
      </c>
      <c r="C82" s="224" t="s">
        <v>627</v>
      </c>
      <c r="D82" t="s">
        <v>492</v>
      </c>
      <c r="E82" t="s">
        <v>379</v>
      </c>
      <c r="F82" t="s">
        <v>502</v>
      </c>
      <c r="G82" t="s">
        <v>541</v>
      </c>
      <c r="H82" t="s">
        <v>492</v>
      </c>
      <c r="I82" s="1" t="str">
        <f t="shared" si="4"/>
        <v>N</v>
      </c>
      <c r="J82" t="s">
        <v>428</v>
      </c>
      <c r="K82" t="s">
        <v>494</v>
      </c>
      <c r="L82" t="s">
        <v>497</v>
      </c>
      <c r="M82" t="s">
        <v>507</v>
      </c>
      <c r="N82" t="s">
        <v>543</v>
      </c>
      <c r="O82" t="s">
        <v>494</v>
      </c>
      <c r="Y82" t="str">
        <f t="shared" si="7"/>
        <v>{0x7f,0x04,0x08,0x10,0x7f}, // 0x4E  'N'</v>
      </c>
    </row>
    <row r="83" spans="1:25" x14ac:dyDescent="0.3">
      <c r="A83" s="8">
        <v>79</v>
      </c>
      <c r="B83" t="str">
        <f t="shared" si="6"/>
        <v>0x4F</v>
      </c>
      <c r="C83" s="224" t="s">
        <v>628</v>
      </c>
      <c r="D83" t="s">
        <v>531</v>
      </c>
      <c r="E83" t="s">
        <v>525</v>
      </c>
      <c r="F83" t="s">
        <v>525</v>
      </c>
      <c r="G83" t="s">
        <v>525</v>
      </c>
      <c r="H83" t="s">
        <v>531</v>
      </c>
      <c r="I83" s="1" t="str">
        <f t="shared" si="4"/>
        <v>O</v>
      </c>
      <c r="J83" t="s">
        <v>428</v>
      </c>
      <c r="K83" t="s">
        <v>532</v>
      </c>
      <c r="L83" t="s">
        <v>528</v>
      </c>
      <c r="M83" t="s">
        <v>528</v>
      </c>
      <c r="N83" t="s">
        <v>528</v>
      </c>
      <c r="O83" t="s">
        <v>532</v>
      </c>
      <c r="Y83" t="str">
        <f t="shared" si="7"/>
        <v>{0x3e,0x41,0x41,0x41,0x3e}, // 0x4F  'O'</v>
      </c>
    </row>
    <row r="84" spans="1:25" x14ac:dyDescent="0.3">
      <c r="A84" s="8">
        <v>80</v>
      </c>
      <c r="B84" t="str">
        <f t="shared" si="6"/>
        <v>0x50</v>
      </c>
      <c r="C84" s="224" t="s">
        <v>629</v>
      </c>
      <c r="D84" t="s">
        <v>492</v>
      </c>
      <c r="E84" t="s">
        <v>584</v>
      </c>
      <c r="F84" t="s">
        <v>584</v>
      </c>
      <c r="G84" t="s">
        <v>584</v>
      </c>
      <c r="H84" t="s">
        <v>422</v>
      </c>
      <c r="I84" s="1" t="str">
        <f t="shared" si="4"/>
        <v>P</v>
      </c>
      <c r="J84" t="s">
        <v>428</v>
      </c>
      <c r="K84" t="s">
        <v>494</v>
      </c>
      <c r="L84" t="s">
        <v>588</v>
      </c>
      <c r="M84" t="s">
        <v>588</v>
      </c>
      <c r="N84" t="s">
        <v>588</v>
      </c>
      <c r="O84" t="s">
        <v>594</v>
      </c>
      <c r="Y84" t="str">
        <f t="shared" si="7"/>
        <v>{0x7f,0x09,0x09,0x09,0x06}, // 0x50  'P'</v>
      </c>
    </row>
    <row r="85" spans="1:25" x14ac:dyDescent="0.3">
      <c r="A85" s="8">
        <v>81</v>
      </c>
      <c r="B85" t="str">
        <f t="shared" si="6"/>
        <v>0x51</v>
      </c>
      <c r="C85" s="224" t="s">
        <v>630</v>
      </c>
      <c r="D85" t="s">
        <v>531</v>
      </c>
      <c r="E85" t="s">
        <v>525</v>
      </c>
      <c r="F85" t="s">
        <v>545</v>
      </c>
      <c r="G85" t="s">
        <v>560</v>
      </c>
      <c r="H85" t="s">
        <v>631</v>
      </c>
      <c r="I85" s="1" t="str">
        <f t="shared" si="4"/>
        <v>Q</v>
      </c>
      <c r="J85" t="s">
        <v>428</v>
      </c>
      <c r="K85" t="s">
        <v>532</v>
      </c>
      <c r="L85" t="s">
        <v>528</v>
      </c>
      <c r="M85" t="s">
        <v>547</v>
      </c>
      <c r="N85" t="s">
        <v>563</v>
      </c>
      <c r="O85" t="s">
        <v>632</v>
      </c>
      <c r="Y85" t="str">
        <f t="shared" si="7"/>
        <v>{0x3e,0x41,0x51,0x21,0x5e}, // 0x51  'Q'</v>
      </c>
    </row>
    <row r="86" spans="1:25" x14ac:dyDescent="0.3">
      <c r="A86" s="8">
        <v>82</v>
      </c>
      <c r="B86" t="str">
        <f t="shared" si="6"/>
        <v>0x52</v>
      </c>
      <c r="C86" s="224" t="s">
        <v>633</v>
      </c>
      <c r="D86" t="s">
        <v>492</v>
      </c>
      <c r="E86" t="s">
        <v>584</v>
      </c>
      <c r="F86" t="s">
        <v>634</v>
      </c>
      <c r="G86" t="s">
        <v>593</v>
      </c>
      <c r="H86" t="s">
        <v>556</v>
      </c>
      <c r="I86" s="1" t="str">
        <f t="shared" si="4"/>
        <v>R</v>
      </c>
      <c r="J86" t="s">
        <v>428</v>
      </c>
      <c r="K86" t="s">
        <v>494</v>
      </c>
      <c r="L86" t="s">
        <v>588</v>
      </c>
      <c r="M86" t="s">
        <v>635</v>
      </c>
      <c r="N86" t="s">
        <v>595</v>
      </c>
      <c r="O86" t="s">
        <v>558</v>
      </c>
      <c r="Y86" t="str">
        <f t="shared" si="7"/>
        <v>{0x7f,0x09,0x19,0x29,0x46}, // 0x52  'R'</v>
      </c>
    </row>
    <row r="87" spans="1:25" x14ac:dyDescent="0.3">
      <c r="A87" s="8">
        <v>83</v>
      </c>
      <c r="B87" t="str">
        <f t="shared" si="6"/>
        <v>0x53</v>
      </c>
      <c r="C87" s="224" t="s">
        <v>636</v>
      </c>
      <c r="D87" t="s">
        <v>556</v>
      </c>
      <c r="E87" t="s">
        <v>512</v>
      </c>
      <c r="F87" t="s">
        <v>512</v>
      </c>
      <c r="G87" t="s">
        <v>512</v>
      </c>
      <c r="H87" t="s">
        <v>562</v>
      </c>
      <c r="I87" s="1" t="str">
        <f t="shared" si="4"/>
        <v>S</v>
      </c>
      <c r="J87" t="s">
        <v>428</v>
      </c>
      <c r="K87" t="s">
        <v>558</v>
      </c>
      <c r="L87" t="s">
        <v>517</v>
      </c>
      <c r="M87" t="s">
        <v>517</v>
      </c>
      <c r="N87" t="s">
        <v>517</v>
      </c>
      <c r="O87" t="s">
        <v>565</v>
      </c>
      <c r="Y87" t="str">
        <f t="shared" si="7"/>
        <v>{0x46,0x49,0x49,0x49,0x31}, // 0x53  'S'</v>
      </c>
    </row>
    <row r="88" spans="1:25" x14ac:dyDescent="0.3">
      <c r="A88" s="8">
        <v>84</v>
      </c>
      <c r="B88" t="str">
        <f t="shared" si="6"/>
        <v>0x54</v>
      </c>
      <c r="C88" s="224" t="s">
        <v>637</v>
      </c>
      <c r="D88" t="s">
        <v>582</v>
      </c>
      <c r="E88" t="s">
        <v>582</v>
      </c>
      <c r="F88" t="s">
        <v>492</v>
      </c>
      <c r="G88" t="s">
        <v>582</v>
      </c>
      <c r="H88" t="s">
        <v>582</v>
      </c>
      <c r="I88" s="1" t="str">
        <f t="shared" si="4"/>
        <v>T</v>
      </c>
      <c r="J88" t="s">
        <v>428</v>
      </c>
      <c r="K88" t="s">
        <v>549</v>
      </c>
      <c r="L88" t="s">
        <v>549</v>
      </c>
      <c r="M88" t="s">
        <v>494</v>
      </c>
      <c r="N88" t="s">
        <v>549</v>
      </c>
      <c r="O88" t="s">
        <v>549</v>
      </c>
      <c r="Y88" t="str">
        <f t="shared" si="7"/>
        <v>{0x01,0x01,0x7f,0x01,0x01}, // 0x54  'T'</v>
      </c>
    </row>
    <row r="89" spans="1:25" x14ac:dyDescent="0.3">
      <c r="A89" s="8">
        <v>85</v>
      </c>
      <c r="B89" t="str">
        <f t="shared" si="6"/>
        <v>0x55</v>
      </c>
      <c r="C89" s="224" t="s">
        <v>638</v>
      </c>
      <c r="D89" t="s">
        <v>620</v>
      </c>
      <c r="E89" t="s">
        <v>551</v>
      </c>
      <c r="F89" t="s">
        <v>551</v>
      </c>
      <c r="G89" t="s">
        <v>551</v>
      </c>
      <c r="H89" t="s">
        <v>620</v>
      </c>
      <c r="I89" s="1" t="str">
        <f t="shared" si="4"/>
        <v>U</v>
      </c>
      <c r="J89" t="s">
        <v>428</v>
      </c>
      <c r="K89" t="s">
        <v>621</v>
      </c>
      <c r="L89" t="s">
        <v>553</v>
      </c>
      <c r="M89" t="s">
        <v>553</v>
      </c>
      <c r="N89" t="s">
        <v>553</v>
      </c>
      <c r="O89" t="s">
        <v>621</v>
      </c>
      <c r="Y89" t="str">
        <f t="shared" si="7"/>
        <v>{0x3f,0x40,0x40,0x40,0x3f}, // 0x55  'U'</v>
      </c>
    </row>
    <row r="90" spans="1:25" x14ac:dyDescent="0.3">
      <c r="A90" s="8">
        <v>86</v>
      </c>
      <c r="B90" t="str">
        <f t="shared" si="6"/>
        <v>0x56</v>
      </c>
      <c r="C90" s="224" t="s">
        <v>639</v>
      </c>
      <c r="D90" t="s">
        <v>640</v>
      </c>
      <c r="E90" t="s">
        <v>535</v>
      </c>
      <c r="F90" t="s">
        <v>551</v>
      </c>
      <c r="G90" t="s">
        <v>535</v>
      </c>
      <c r="H90" t="s">
        <v>640</v>
      </c>
      <c r="I90" s="1" t="str">
        <f t="shared" si="4"/>
        <v>V</v>
      </c>
      <c r="J90" t="s">
        <v>428</v>
      </c>
      <c r="K90" t="s">
        <v>641</v>
      </c>
      <c r="L90" t="s">
        <v>536</v>
      </c>
      <c r="M90" t="s">
        <v>553</v>
      </c>
      <c r="N90" t="s">
        <v>536</v>
      </c>
      <c r="O90" t="s">
        <v>641</v>
      </c>
      <c r="Y90" t="str">
        <f t="shared" si="7"/>
        <v>{0x0f,0x30,0x40,0x30,0x0f}, // 0x56  'V'</v>
      </c>
    </row>
    <row r="91" spans="1:25" x14ac:dyDescent="0.3">
      <c r="A91" s="8">
        <v>87</v>
      </c>
      <c r="B91" t="str">
        <f t="shared" si="6"/>
        <v>0x57</v>
      </c>
      <c r="C91" s="224" t="s">
        <v>642</v>
      </c>
      <c r="D91" t="s">
        <v>620</v>
      </c>
      <c r="E91" t="s">
        <v>551</v>
      </c>
      <c r="F91" t="s">
        <v>535</v>
      </c>
      <c r="G91" t="s">
        <v>551</v>
      </c>
      <c r="H91" t="s">
        <v>620</v>
      </c>
      <c r="I91" s="1" t="str">
        <f t="shared" si="4"/>
        <v>W</v>
      </c>
      <c r="J91" t="s">
        <v>428</v>
      </c>
      <c r="K91" t="s">
        <v>621</v>
      </c>
      <c r="L91" t="s">
        <v>553</v>
      </c>
      <c r="M91" t="s">
        <v>536</v>
      </c>
      <c r="N91" t="s">
        <v>553</v>
      </c>
      <c r="O91" t="s">
        <v>621</v>
      </c>
      <c r="Y91" t="str">
        <f t="shared" si="7"/>
        <v>{0x3f,0x40,0x30,0x40,0x3f}, // 0x57  'W'</v>
      </c>
    </row>
    <row r="92" spans="1:25" x14ac:dyDescent="0.3">
      <c r="A92" s="8">
        <v>88</v>
      </c>
      <c r="B92" t="str">
        <f t="shared" si="6"/>
        <v>0x58</v>
      </c>
      <c r="C92" s="224" t="s">
        <v>643</v>
      </c>
      <c r="D92" t="s">
        <v>644</v>
      </c>
      <c r="E92" t="s">
        <v>491</v>
      </c>
      <c r="F92" t="s">
        <v>502</v>
      </c>
      <c r="G92" t="s">
        <v>491</v>
      </c>
      <c r="H92" t="s">
        <v>644</v>
      </c>
      <c r="I92" s="1" t="str">
        <f t="shared" si="4"/>
        <v>X</v>
      </c>
      <c r="J92" t="s">
        <v>428</v>
      </c>
      <c r="K92" t="s">
        <v>645</v>
      </c>
      <c r="L92" t="s">
        <v>493</v>
      </c>
      <c r="M92" t="s">
        <v>507</v>
      </c>
      <c r="N92" t="s">
        <v>493</v>
      </c>
      <c r="O92" t="s">
        <v>645</v>
      </c>
      <c r="Y92" t="str">
        <f t="shared" si="7"/>
        <v>{0x63,0x14,0x08,0x14,0x63}, // 0x58  'X'</v>
      </c>
    </row>
    <row r="93" spans="1:25" x14ac:dyDescent="0.3">
      <c r="A93" s="8">
        <v>89</v>
      </c>
      <c r="B93" t="str">
        <f t="shared" si="6"/>
        <v>0x59</v>
      </c>
      <c r="C93" s="224" t="s">
        <v>646</v>
      </c>
      <c r="D93" t="s">
        <v>489</v>
      </c>
      <c r="E93" t="s">
        <v>502</v>
      </c>
      <c r="F93" t="s">
        <v>647</v>
      </c>
      <c r="G93" t="s">
        <v>502</v>
      </c>
      <c r="H93" t="s">
        <v>489</v>
      </c>
      <c r="I93" s="1" t="str">
        <f t="shared" si="4"/>
        <v>Y</v>
      </c>
      <c r="J93" t="s">
        <v>428</v>
      </c>
      <c r="K93" t="s">
        <v>490</v>
      </c>
      <c r="L93" t="s">
        <v>507</v>
      </c>
      <c r="M93" t="s">
        <v>648</v>
      </c>
      <c r="N93" t="s">
        <v>507</v>
      </c>
      <c r="O93" t="s">
        <v>490</v>
      </c>
      <c r="Y93" t="str">
        <f t="shared" si="7"/>
        <v>{0x07,0x08,0x70,0x08,0x07}, // 0x59  'Y'</v>
      </c>
    </row>
    <row r="94" spans="1:25" x14ac:dyDescent="0.3">
      <c r="A94" s="8">
        <v>90</v>
      </c>
      <c r="B94" t="str">
        <f t="shared" si="6"/>
        <v>0x5A</v>
      </c>
      <c r="C94" s="224" t="s">
        <v>649</v>
      </c>
      <c r="D94" t="s">
        <v>555</v>
      </c>
      <c r="E94" t="s">
        <v>545</v>
      </c>
      <c r="F94" t="s">
        <v>512</v>
      </c>
      <c r="G94" t="s">
        <v>546</v>
      </c>
      <c r="H94" t="s">
        <v>650</v>
      </c>
      <c r="I94" s="1" t="str">
        <f t="shared" si="4"/>
        <v>Z</v>
      </c>
      <c r="J94" t="s">
        <v>428</v>
      </c>
      <c r="K94" t="s">
        <v>557</v>
      </c>
      <c r="L94" t="s">
        <v>547</v>
      </c>
      <c r="M94" t="s">
        <v>517</v>
      </c>
      <c r="N94" t="s">
        <v>548</v>
      </c>
      <c r="O94" t="s">
        <v>651</v>
      </c>
      <c r="Y94" t="str">
        <f t="shared" si="7"/>
        <v>{0x61,0x51,0x49,0x45,0x43}, // 0x5A  'Z'</v>
      </c>
    </row>
    <row r="95" spans="1:25" x14ac:dyDescent="0.3">
      <c r="A95" s="8">
        <v>91</v>
      </c>
      <c r="B95" t="str">
        <f t="shared" si="6"/>
        <v>0x5B</v>
      </c>
      <c r="C95" s="224" t="s">
        <v>652</v>
      </c>
      <c r="D95" t="s">
        <v>577</v>
      </c>
      <c r="E95" t="s">
        <v>578</v>
      </c>
      <c r="F95" t="s">
        <v>512</v>
      </c>
      <c r="G95" t="s">
        <v>593</v>
      </c>
      <c r="H95" t="s">
        <v>496</v>
      </c>
      <c r="I95" s="1" t="str">
        <f t="shared" si="4"/>
        <v>[</v>
      </c>
      <c r="J95" t="s">
        <v>428</v>
      </c>
      <c r="K95" t="s">
        <v>579</v>
      </c>
      <c r="L95" t="s">
        <v>580</v>
      </c>
      <c r="M95" t="s">
        <v>517</v>
      </c>
      <c r="N95" t="s">
        <v>595</v>
      </c>
      <c r="O95" t="s">
        <v>498</v>
      </c>
      <c r="Y95" t="str">
        <f t="shared" si="7"/>
        <v>{0x3c,0x4a,0x49,0x29,0x1e}, // 0x5B  '['</v>
      </c>
    </row>
    <row r="96" spans="1:25" x14ac:dyDescent="0.3">
      <c r="A96" s="8">
        <v>92</v>
      </c>
      <c r="B96" t="str">
        <f t="shared" si="6"/>
        <v>0x5C</v>
      </c>
      <c r="C96" s="225" t="s">
        <v>653</v>
      </c>
      <c r="D96" t="s">
        <v>542</v>
      </c>
      <c r="E96" t="s">
        <v>379</v>
      </c>
      <c r="F96" t="s">
        <v>502</v>
      </c>
      <c r="G96" t="s">
        <v>541</v>
      </c>
      <c r="H96" t="s">
        <v>514</v>
      </c>
      <c r="I96" s="1" t="str">
        <f t="shared" si="4"/>
        <v>\</v>
      </c>
      <c r="J96" t="s">
        <v>428</v>
      </c>
      <c r="K96" t="s">
        <v>544</v>
      </c>
      <c r="L96" t="s">
        <v>497</v>
      </c>
      <c r="M96" t="s">
        <v>507</v>
      </c>
      <c r="N96" t="s">
        <v>543</v>
      </c>
      <c r="O96" t="s">
        <v>519</v>
      </c>
      <c r="Y96" t="str">
        <f t="shared" si="7"/>
        <v>{0x02,0x04,0x08,0x10,0x20}, // 0x5C  '\'</v>
      </c>
    </row>
    <row r="97" spans="1:25" x14ac:dyDescent="0.3">
      <c r="A97" s="8">
        <v>93</v>
      </c>
      <c r="B97" t="str">
        <f t="shared" si="6"/>
        <v>0x5D</v>
      </c>
      <c r="C97" s="224" t="s">
        <v>654</v>
      </c>
      <c r="D97" t="s">
        <v>367</v>
      </c>
      <c r="E97" t="s">
        <v>525</v>
      </c>
      <c r="F97" t="s">
        <v>492</v>
      </c>
      <c r="G97" t="s">
        <v>367</v>
      </c>
      <c r="H97" t="s">
        <v>367</v>
      </c>
      <c r="I97" s="1" t="str">
        <f t="shared" si="4"/>
        <v>]</v>
      </c>
      <c r="J97" t="s">
        <v>428</v>
      </c>
      <c r="K97" t="s">
        <v>428</v>
      </c>
      <c r="L97" t="s">
        <v>528</v>
      </c>
      <c r="M97" t="s">
        <v>494</v>
      </c>
      <c r="N97" t="s">
        <v>428</v>
      </c>
      <c r="O97" t="s">
        <v>428</v>
      </c>
      <c r="Y97" t="str">
        <f t="shared" si="7"/>
        <v>{0x00,0x41,0x7f,0x00,0x00}, // 0x5D  ']'</v>
      </c>
    </row>
    <row r="98" spans="1:25" x14ac:dyDescent="0.3">
      <c r="A98" s="8">
        <v>94</v>
      </c>
      <c r="B98" t="str">
        <f t="shared" si="6"/>
        <v>0x5E</v>
      </c>
      <c r="C98" s="225" t="s">
        <v>655</v>
      </c>
      <c r="D98" t="s">
        <v>379</v>
      </c>
      <c r="E98" t="s">
        <v>542</v>
      </c>
      <c r="F98" t="s">
        <v>582</v>
      </c>
      <c r="G98" t="s">
        <v>542</v>
      </c>
      <c r="H98" t="s">
        <v>379</v>
      </c>
      <c r="I98" s="1" t="str">
        <f t="shared" si="4"/>
        <v>^</v>
      </c>
      <c r="J98" t="s">
        <v>428</v>
      </c>
      <c r="K98" t="s">
        <v>497</v>
      </c>
      <c r="L98" t="s">
        <v>544</v>
      </c>
      <c r="M98" t="s">
        <v>549</v>
      </c>
      <c r="N98" t="s">
        <v>544</v>
      </c>
      <c r="O98" t="s">
        <v>497</v>
      </c>
      <c r="Y98" t="str">
        <f t="shared" si="7"/>
        <v>{0x04,0x02,0x01,0x02,0x04}, // 0x5E  '^'</v>
      </c>
    </row>
    <row r="99" spans="1:25" x14ac:dyDescent="0.3">
      <c r="A99" s="8">
        <v>95</v>
      </c>
      <c r="B99" t="str">
        <f t="shared" si="6"/>
        <v>0x5F</v>
      </c>
      <c r="C99" s="224" t="s">
        <v>656</v>
      </c>
      <c r="D99" t="s">
        <v>551</v>
      </c>
      <c r="E99" t="s">
        <v>551</v>
      </c>
      <c r="F99" t="s">
        <v>551</v>
      </c>
      <c r="G99" t="s">
        <v>551</v>
      </c>
      <c r="H99" t="s">
        <v>551</v>
      </c>
      <c r="I99" s="1" t="str">
        <f t="shared" ref="I99:I131" si="8">CHAR(A99)</f>
        <v>_</v>
      </c>
      <c r="J99" t="s">
        <v>428</v>
      </c>
      <c r="K99" t="s">
        <v>553</v>
      </c>
      <c r="L99" t="s">
        <v>553</v>
      </c>
      <c r="M99" t="s">
        <v>553</v>
      </c>
      <c r="N99" t="s">
        <v>553</v>
      </c>
      <c r="O99" t="s">
        <v>553</v>
      </c>
      <c r="Y99" t="str">
        <f t="shared" si="7"/>
        <v>{0x40,0x40,0x40,0x40,0x40}, // 0x5F  '_'</v>
      </c>
    </row>
    <row r="100" spans="1:25" x14ac:dyDescent="0.3">
      <c r="A100" s="8">
        <v>96</v>
      </c>
      <c r="B100" t="str">
        <f t="shared" si="6"/>
        <v>0x60</v>
      </c>
      <c r="C100" s="225" t="s">
        <v>657</v>
      </c>
      <c r="D100" t="s">
        <v>367</v>
      </c>
      <c r="E100" t="s">
        <v>367</v>
      </c>
      <c r="F100" t="s">
        <v>586</v>
      </c>
      <c r="G100" t="s">
        <v>379</v>
      </c>
      <c r="H100" t="s">
        <v>367</v>
      </c>
      <c r="I100" s="1" t="str">
        <f t="shared" si="8"/>
        <v>`</v>
      </c>
      <c r="J100" t="s">
        <v>428</v>
      </c>
      <c r="K100" t="s">
        <v>428</v>
      </c>
      <c r="L100" t="s">
        <v>428</v>
      </c>
      <c r="M100" t="s">
        <v>590</v>
      </c>
      <c r="N100" t="s">
        <v>497</v>
      </c>
      <c r="O100" t="s">
        <v>428</v>
      </c>
      <c r="Y100" t="str">
        <f t="shared" si="7"/>
        <v>{0x00,0x00,0x03,0x04,0x00}, // 0x60  '`'</v>
      </c>
    </row>
    <row r="101" spans="1:25" x14ac:dyDescent="0.3">
      <c r="A101" s="8">
        <v>97</v>
      </c>
      <c r="B101" t="str">
        <f t="shared" si="6"/>
        <v>0x61</v>
      </c>
      <c r="C101" s="224" t="s">
        <v>658</v>
      </c>
      <c r="D101" t="s">
        <v>514</v>
      </c>
      <c r="E101" t="s">
        <v>659</v>
      </c>
      <c r="F101" t="s">
        <v>659</v>
      </c>
      <c r="G101" t="s">
        <v>659</v>
      </c>
      <c r="H101" t="s">
        <v>660</v>
      </c>
      <c r="I101" s="1" t="str">
        <f t="shared" si="8"/>
        <v>a</v>
      </c>
      <c r="J101" t="s">
        <v>428</v>
      </c>
      <c r="K101" t="s">
        <v>519</v>
      </c>
      <c r="L101" t="s">
        <v>661</v>
      </c>
      <c r="M101" t="s">
        <v>661</v>
      </c>
      <c r="N101" t="s">
        <v>661</v>
      </c>
      <c r="O101" t="s">
        <v>662</v>
      </c>
      <c r="Y101" t="str">
        <f t="shared" si="7"/>
        <v>{0x20,0x54,0x54,0x54,0x78}, // 0x61  'a'</v>
      </c>
    </row>
    <row r="102" spans="1:25" x14ac:dyDescent="0.3">
      <c r="A102" s="8">
        <v>98</v>
      </c>
      <c r="B102" t="str">
        <f t="shared" ref="B102:B131" si="9">"0x"&amp;DEC2HEX(A102)</f>
        <v>0x62</v>
      </c>
      <c r="C102" s="224" t="s">
        <v>663</v>
      </c>
      <c r="D102" t="s">
        <v>492</v>
      </c>
      <c r="E102" t="s">
        <v>664</v>
      </c>
      <c r="F102" t="s">
        <v>665</v>
      </c>
      <c r="G102" t="s">
        <v>665</v>
      </c>
      <c r="H102" t="s">
        <v>666</v>
      </c>
      <c r="I102" s="1" t="str">
        <f t="shared" si="8"/>
        <v>b</v>
      </c>
      <c r="J102" t="s">
        <v>428</v>
      </c>
      <c r="K102" t="s">
        <v>494</v>
      </c>
      <c r="L102" t="s">
        <v>667</v>
      </c>
      <c r="M102" t="s">
        <v>668</v>
      </c>
      <c r="N102" t="s">
        <v>668</v>
      </c>
      <c r="O102" t="s">
        <v>669</v>
      </c>
      <c r="Y102" t="str">
        <f t="shared" si="7"/>
        <v>{0x7f,0x48,0x44,0x44,0x38}, // 0x62  'b'</v>
      </c>
    </row>
    <row r="103" spans="1:25" x14ac:dyDescent="0.3">
      <c r="A103" s="8">
        <v>99</v>
      </c>
      <c r="B103" t="str">
        <f t="shared" si="9"/>
        <v>0x63</v>
      </c>
      <c r="C103" s="224" t="s">
        <v>670</v>
      </c>
      <c r="D103" t="s">
        <v>666</v>
      </c>
      <c r="E103" t="s">
        <v>665</v>
      </c>
      <c r="F103" t="s">
        <v>665</v>
      </c>
      <c r="G103" t="s">
        <v>665</v>
      </c>
      <c r="H103" t="s">
        <v>514</v>
      </c>
      <c r="I103" s="1" t="str">
        <f t="shared" si="8"/>
        <v>c</v>
      </c>
      <c r="J103" t="s">
        <v>428</v>
      </c>
      <c r="K103" t="s">
        <v>669</v>
      </c>
      <c r="L103" t="s">
        <v>668</v>
      </c>
      <c r="M103" t="s">
        <v>668</v>
      </c>
      <c r="N103" t="s">
        <v>668</v>
      </c>
      <c r="O103" t="s">
        <v>519</v>
      </c>
      <c r="Y103" t="str">
        <f t="shared" si="7"/>
        <v>{0x38,0x44,0x44,0x44,0x20}, // 0x63  'c'</v>
      </c>
    </row>
    <row r="104" spans="1:25" x14ac:dyDescent="0.3">
      <c r="A104" s="8">
        <v>100</v>
      </c>
      <c r="B104" t="str">
        <f t="shared" si="9"/>
        <v>0x64</v>
      </c>
      <c r="C104" s="224" t="s">
        <v>671</v>
      </c>
      <c r="D104" t="s">
        <v>666</v>
      </c>
      <c r="E104" t="s">
        <v>665</v>
      </c>
      <c r="F104" t="s">
        <v>665</v>
      </c>
      <c r="G104" t="s">
        <v>664</v>
      </c>
      <c r="H104" t="s">
        <v>492</v>
      </c>
      <c r="I104" s="1" t="str">
        <f t="shared" si="8"/>
        <v>d</v>
      </c>
      <c r="J104" t="s">
        <v>428</v>
      </c>
      <c r="K104" t="s">
        <v>669</v>
      </c>
      <c r="L104" t="s">
        <v>668</v>
      </c>
      <c r="M104" t="s">
        <v>668</v>
      </c>
      <c r="N104" t="s">
        <v>667</v>
      </c>
      <c r="O104" t="s">
        <v>494</v>
      </c>
      <c r="Y104" t="str">
        <f t="shared" si="7"/>
        <v>{0x38,0x44,0x44,0x48,0x7f}, // 0x64  'd'</v>
      </c>
    </row>
    <row r="105" spans="1:25" x14ac:dyDescent="0.3">
      <c r="A105" s="8">
        <v>101</v>
      </c>
      <c r="B105" t="str">
        <f t="shared" si="9"/>
        <v>0x65</v>
      </c>
      <c r="C105" s="224" t="s">
        <v>672</v>
      </c>
      <c r="D105" t="s">
        <v>666</v>
      </c>
      <c r="E105" t="s">
        <v>659</v>
      </c>
      <c r="F105" t="s">
        <v>659</v>
      </c>
      <c r="G105" t="s">
        <v>659</v>
      </c>
      <c r="H105" t="s">
        <v>567</v>
      </c>
      <c r="I105" s="1" t="str">
        <f t="shared" si="8"/>
        <v>e</v>
      </c>
      <c r="J105" t="s">
        <v>428</v>
      </c>
      <c r="K105" t="s">
        <v>669</v>
      </c>
      <c r="L105" t="s">
        <v>661</v>
      </c>
      <c r="M105" t="s">
        <v>661</v>
      </c>
      <c r="N105" t="s">
        <v>661</v>
      </c>
      <c r="O105" t="s">
        <v>569</v>
      </c>
      <c r="Y105" t="str">
        <f t="shared" si="7"/>
        <v>{0x38,0x54,0x54,0x54,0x18}, // 0x65  'e'</v>
      </c>
    </row>
    <row r="106" spans="1:25" x14ac:dyDescent="0.3">
      <c r="A106" s="8">
        <v>102</v>
      </c>
      <c r="B106" t="str">
        <f t="shared" si="9"/>
        <v>0x66</v>
      </c>
      <c r="C106" s="224" t="s">
        <v>673</v>
      </c>
      <c r="D106" t="s">
        <v>502</v>
      </c>
      <c r="E106" t="s">
        <v>607</v>
      </c>
      <c r="F106" t="s">
        <v>584</v>
      </c>
      <c r="G106" t="s">
        <v>582</v>
      </c>
      <c r="H106" t="s">
        <v>542</v>
      </c>
      <c r="I106" s="1" t="str">
        <f t="shared" si="8"/>
        <v>f</v>
      </c>
      <c r="J106" t="s">
        <v>428</v>
      </c>
      <c r="K106" t="s">
        <v>507</v>
      </c>
      <c r="L106" t="s">
        <v>608</v>
      </c>
      <c r="M106" t="s">
        <v>588</v>
      </c>
      <c r="N106" t="s">
        <v>549</v>
      </c>
      <c r="O106" t="s">
        <v>544</v>
      </c>
      <c r="Y106" t="str">
        <f t="shared" si="7"/>
        <v>{0x08,0x7e,0x09,0x01,0x02}, // 0x66  'f'</v>
      </c>
    </row>
    <row r="107" spans="1:25" x14ac:dyDescent="0.3">
      <c r="A107" s="8">
        <v>103</v>
      </c>
      <c r="B107" t="str">
        <f t="shared" si="9"/>
        <v>0x67</v>
      </c>
      <c r="C107" s="224" t="s">
        <v>674</v>
      </c>
      <c r="D107" t="s">
        <v>625</v>
      </c>
      <c r="E107" t="s">
        <v>675</v>
      </c>
      <c r="F107" t="s">
        <v>675</v>
      </c>
      <c r="G107" t="s">
        <v>675</v>
      </c>
      <c r="H107" t="s">
        <v>531</v>
      </c>
      <c r="I107" s="1" t="str">
        <f t="shared" si="8"/>
        <v>g</v>
      </c>
      <c r="J107" t="s">
        <v>428</v>
      </c>
      <c r="K107" t="s">
        <v>626</v>
      </c>
      <c r="L107" t="s">
        <v>676</v>
      </c>
      <c r="M107" t="s">
        <v>676</v>
      </c>
      <c r="N107" t="s">
        <v>676</v>
      </c>
      <c r="O107" t="s">
        <v>532</v>
      </c>
      <c r="Y107" t="str">
        <f t="shared" si="7"/>
        <v>{0x0c,0x52,0x52,0x52,0x3e}, // 0x67  'g'</v>
      </c>
    </row>
    <row r="108" spans="1:25" x14ac:dyDescent="0.3">
      <c r="A108" s="8">
        <v>104</v>
      </c>
      <c r="B108" t="str">
        <f t="shared" si="9"/>
        <v>0x68</v>
      </c>
      <c r="C108" s="224" t="s">
        <v>677</v>
      </c>
      <c r="D108" t="s">
        <v>492</v>
      </c>
      <c r="E108" t="s">
        <v>502</v>
      </c>
      <c r="F108" t="s">
        <v>379</v>
      </c>
      <c r="G108" t="s">
        <v>379</v>
      </c>
      <c r="H108" t="s">
        <v>660</v>
      </c>
      <c r="I108" s="1" t="str">
        <f t="shared" si="8"/>
        <v>h</v>
      </c>
      <c r="J108" t="s">
        <v>428</v>
      </c>
      <c r="K108" t="s">
        <v>494</v>
      </c>
      <c r="L108" t="s">
        <v>507</v>
      </c>
      <c r="M108" t="s">
        <v>497</v>
      </c>
      <c r="N108" t="s">
        <v>497</v>
      </c>
      <c r="O108" t="s">
        <v>662</v>
      </c>
      <c r="Y108" t="str">
        <f t="shared" si="7"/>
        <v>{0x7f,0x08,0x04,0x04,0x78}, // 0x68  'h'</v>
      </c>
    </row>
    <row r="109" spans="1:25" x14ac:dyDescent="0.3">
      <c r="A109" s="8">
        <v>105</v>
      </c>
      <c r="B109" t="str">
        <f t="shared" si="9"/>
        <v>0x69</v>
      </c>
      <c r="C109" s="224" t="s">
        <v>678</v>
      </c>
      <c r="D109" t="s">
        <v>367</v>
      </c>
      <c r="E109" t="s">
        <v>665</v>
      </c>
      <c r="F109" t="s">
        <v>679</v>
      </c>
      <c r="G109" t="s">
        <v>551</v>
      </c>
      <c r="H109" t="s">
        <v>367</v>
      </c>
      <c r="I109" s="1" t="str">
        <f t="shared" si="8"/>
        <v>i</v>
      </c>
      <c r="J109" t="s">
        <v>428</v>
      </c>
      <c r="K109" t="s">
        <v>428</v>
      </c>
      <c r="L109" t="s">
        <v>668</v>
      </c>
      <c r="M109" t="s">
        <v>680</v>
      </c>
      <c r="N109" t="s">
        <v>553</v>
      </c>
      <c r="O109" t="s">
        <v>428</v>
      </c>
      <c r="Y109" t="str">
        <f t="shared" si="7"/>
        <v>{0x00,0x44,0x7d,0x40,0x00}, // 0x69  'i'</v>
      </c>
    </row>
    <row r="110" spans="1:25" x14ac:dyDescent="0.3">
      <c r="A110" s="8">
        <v>106</v>
      </c>
      <c r="B110" t="str">
        <f t="shared" si="9"/>
        <v>0x6A</v>
      </c>
      <c r="C110" s="224" t="s">
        <v>681</v>
      </c>
      <c r="D110" t="s">
        <v>514</v>
      </c>
      <c r="E110" t="s">
        <v>551</v>
      </c>
      <c r="F110" t="s">
        <v>665</v>
      </c>
      <c r="G110" t="s">
        <v>682</v>
      </c>
      <c r="H110" t="s">
        <v>367</v>
      </c>
      <c r="I110" s="1" t="str">
        <f t="shared" si="8"/>
        <v>j</v>
      </c>
      <c r="J110" t="s">
        <v>428</v>
      </c>
      <c r="K110" t="s">
        <v>519</v>
      </c>
      <c r="L110" t="s">
        <v>553</v>
      </c>
      <c r="M110" t="s">
        <v>668</v>
      </c>
      <c r="N110" t="s">
        <v>683</v>
      </c>
      <c r="O110" t="s">
        <v>428</v>
      </c>
      <c r="Y110" t="str">
        <f t="shared" si="7"/>
        <v>{0x20,0x40,0x44,0x3d,0x00}, // 0x6A  'j'</v>
      </c>
    </row>
    <row r="111" spans="1:25" x14ac:dyDescent="0.3">
      <c r="A111" s="8">
        <v>107</v>
      </c>
      <c r="B111" t="str">
        <f t="shared" si="9"/>
        <v>0x6B</v>
      </c>
      <c r="C111" s="224" t="s">
        <v>684</v>
      </c>
      <c r="D111" t="s">
        <v>367</v>
      </c>
      <c r="E111" t="s">
        <v>492</v>
      </c>
      <c r="F111" t="s">
        <v>541</v>
      </c>
      <c r="G111" t="s">
        <v>685</v>
      </c>
      <c r="H111" t="s">
        <v>665</v>
      </c>
      <c r="I111" s="1" t="str">
        <f t="shared" si="8"/>
        <v>k</v>
      </c>
      <c r="J111" t="s">
        <v>428</v>
      </c>
      <c r="K111" t="s">
        <v>428</v>
      </c>
      <c r="L111" t="s">
        <v>494</v>
      </c>
      <c r="M111" t="s">
        <v>543</v>
      </c>
      <c r="N111" t="s">
        <v>686</v>
      </c>
      <c r="O111" t="s">
        <v>668</v>
      </c>
      <c r="Y111" t="str">
        <f t="shared" si="7"/>
        <v>{0x00,0x7f,0x10,0x28,0x44}, // 0x6B  'k'</v>
      </c>
    </row>
    <row r="112" spans="1:25" x14ac:dyDescent="0.3">
      <c r="A112" s="8">
        <v>108</v>
      </c>
      <c r="B112" t="str">
        <f t="shared" si="9"/>
        <v>0x6C</v>
      </c>
      <c r="C112" s="224" t="s">
        <v>687</v>
      </c>
      <c r="D112" t="s">
        <v>367</v>
      </c>
      <c r="E112" t="s">
        <v>525</v>
      </c>
      <c r="F112" t="s">
        <v>492</v>
      </c>
      <c r="G112" t="s">
        <v>551</v>
      </c>
      <c r="H112" t="s">
        <v>367</v>
      </c>
      <c r="I112" s="1" t="str">
        <f t="shared" si="8"/>
        <v>l</v>
      </c>
      <c r="J112" t="s">
        <v>428</v>
      </c>
      <c r="K112" t="s">
        <v>428</v>
      </c>
      <c r="L112" t="s">
        <v>528</v>
      </c>
      <c r="M112" t="s">
        <v>494</v>
      </c>
      <c r="N112" t="s">
        <v>553</v>
      </c>
      <c r="O112" t="s">
        <v>428</v>
      </c>
      <c r="Y112" t="str">
        <f t="shared" si="7"/>
        <v>{0x00,0x41,0x7f,0x40,0x00}, // 0x6C  'l'</v>
      </c>
    </row>
    <row r="113" spans="1:25" x14ac:dyDescent="0.3">
      <c r="A113" s="8">
        <v>109</v>
      </c>
      <c r="B113" t="str">
        <f t="shared" si="9"/>
        <v>0x6D</v>
      </c>
      <c r="C113" s="224" t="s">
        <v>688</v>
      </c>
      <c r="D113" t="s">
        <v>689</v>
      </c>
      <c r="E113" t="s">
        <v>379</v>
      </c>
      <c r="F113" t="s">
        <v>567</v>
      </c>
      <c r="G113" t="s">
        <v>379</v>
      </c>
      <c r="H113" t="s">
        <v>660</v>
      </c>
      <c r="I113" s="1" t="str">
        <f t="shared" si="8"/>
        <v>m</v>
      </c>
      <c r="J113" t="s">
        <v>428</v>
      </c>
      <c r="K113" t="s">
        <v>690</v>
      </c>
      <c r="L113" t="s">
        <v>497</v>
      </c>
      <c r="M113" t="s">
        <v>569</v>
      </c>
      <c r="N113" t="s">
        <v>497</v>
      </c>
      <c r="O113" t="s">
        <v>662</v>
      </c>
      <c r="Y113" t="str">
        <f t="shared" si="7"/>
        <v>{0x7c,0x04,0x18,0x04,0x78}, // 0x6D  'm'</v>
      </c>
    </row>
    <row r="114" spans="1:25" x14ac:dyDescent="0.3">
      <c r="A114" s="8">
        <v>110</v>
      </c>
      <c r="B114" t="str">
        <f t="shared" si="9"/>
        <v>0x6E</v>
      </c>
      <c r="C114" s="224" t="s">
        <v>691</v>
      </c>
      <c r="D114" t="s">
        <v>689</v>
      </c>
      <c r="E114" t="s">
        <v>502</v>
      </c>
      <c r="F114" t="s">
        <v>379</v>
      </c>
      <c r="G114" t="s">
        <v>379</v>
      </c>
      <c r="H114" t="s">
        <v>660</v>
      </c>
      <c r="I114" s="1" t="str">
        <f t="shared" si="8"/>
        <v>n</v>
      </c>
      <c r="J114" t="s">
        <v>428</v>
      </c>
      <c r="K114" t="s">
        <v>690</v>
      </c>
      <c r="L114" t="s">
        <v>507</v>
      </c>
      <c r="M114" t="s">
        <v>497</v>
      </c>
      <c r="N114" t="s">
        <v>497</v>
      </c>
      <c r="O114" t="s">
        <v>662</v>
      </c>
      <c r="Y114" t="str">
        <f t="shared" si="7"/>
        <v>{0x7c,0x08,0x04,0x04,0x78}, // 0x6E  'n'</v>
      </c>
    </row>
    <row r="115" spans="1:25" x14ac:dyDescent="0.3">
      <c r="A115" s="8">
        <v>111</v>
      </c>
      <c r="B115" t="str">
        <f t="shared" si="9"/>
        <v>0x6F</v>
      </c>
      <c r="C115" s="224" t="s">
        <v>692</v>
      </c>
      <c r="D115" t="s">
        <v>666</v>
      </c>
      <c r="E115" t="s">
        <v>665</v>
      </c>
      <c r="F115" t="s">
        <v>665</v>
      </c>
      <c r="G115" t="s">
        <v>665</v>
      </c>
      <c r="H115" t="s">
        <v>666</v>
      </c>
      <c r="I115" s="1" t="str">
        <f t="shared" si="8"/>
        <v>o</v>
      </c>
      <c r="J115" t="s">
        <v>428</v>
      </c>
      <c r="K115" t="s">
        <v>669</v>
      </c>
      <c r="L115" t="s">
        <v>668</v>
      </c>
      <c r="M115" t="s">
        <v>668</v>
      </c>
      <c r="N115" t="s">
        <v>668</v>
      </c>
      <c r="O115" t="s">
        <v>669</v>
      </c>
      <c r="Y115" t="str">
        <f t="shared" si="7"/>
        <v>{0x38,0x44,0x44,0x44,0x38}, // 0x6F  'o'</v>
      </c>
    </row>
    <row r="116" spans="1:25" x14ac:dyDescent="0.3">
      <c r="A116" s="8">
        <v>112</v>
      </c>
      <c r="B116" t="str">
        <f t="shared" si="9"/>
        <v>0x70</v>
      </c>
      <c r="C116" s="224" t="s">
        <v>693</v>
      </c>
      <c r="D116" t="s">
        <v>689</v>
      </c>
      <c r="E116" t="s">
        <v>491</v>
      </c>
      <c r="F116" t="s">
        <v>491</v>
      </c>
      <c r="G116" t="s">
        <v>491</v>
      </c>
      <c r="H116" t="s">
        <v>502</v>
      </c>
      <c r="I116" s="1" t="str">
        <f t="shared" si="8"/>
        <v>p</v>
      </c>
      <c r="J116" t="s">
        <v>428</v>
      </c>
      <c r="K116" t="s">
        <v>690</v>
      </c>
      <c r="L116" t="s">
        <v>493</v>
      </c>
      <c r="M116" t="s">
        <v>493</v>
      </c>
      <c r="N116" t="s">
        <v>493</v>
      </c>
      <c r="O116" t="s">
        <v>507</v>
      </c>
      <c r="Y116" t="str">
        <f t="shared" si="7"/>
        <v>{0x7c,0x14,0x14,0x14,0x08}, // 0x70  'p'</v>
      </c>
    </row>
    <row r="117" spans="1:25" x14ac:dyDescent="0.3">
      <c r="A117" s="8">
        <v>113</v>
      </c>
      <c r="B117" t="str">
        <f t="shared" si="9"/>
        <v>0x71</v>
      </c>
      <c r="C117" s="224" t="s">
        <v>694</v>
      </c>
      <c r="D117" t="s">
        <v>502</v>
      </c>
      <c r="E117" t="s">
        <v>491</v>
      </c>
      <c r="F117" t="s">
        <v>491</v>
      </c>
      <c r="G117" t="s">
        <v>567</v>
      </c>
      <c r="H117" t="s">
        <v>689</v>
      </c>
      <c r="I117" s="1" t="str">
        <f t="shared" si="8"/>
        <v>q</v>
      </c>
      <c r="J117" t="s">
        <v>428</v>
      </c>
      <c r="K117" t="s">
        <v>507</v>
      </c>
      <c r="L117" t="s">
        <v>493</v>
      </c>
      <c r="M117" t="s">
        <v>493</v>
      </c>
      <c r="N117" t="s">
        <v>569</v>
      </c>
      <c r="O117" t="s">
        <v>690</v>
      </c>
      <c r="Y117" t="str">
        <f t="shared" si="7"/>
        <v>{0x08,0x14,0x14,0x18,0x7c}, // 0x71  'q'</v>
      </c>
    </row>
    <row r="118" spans="1:25" x14ac:dyDescent="0.3">
      <c r="A118" s="8">
        <v>114</v>
      </c>
      <c r="B118" t="str">
        <f t="shared" si="9"/>
        <v>0x72</v>
      </c>
      <c r="C118" s="224" t="s">
        <v>695</v>
      </c>
      <c r="D118" t="s">
        <v>689</v>
      </c>
      <c r="E118" t="s">
        <v>502</v>
      </c>
      <c r="F118" t="s">
        <v>379</v>
      </c>
      <c r="G118" t="s">
        <v>379</v>
      </c>
      <c r="H118" t="s">
        <v>502</v>
      </c>
      <c r="I118" s="1" t="str">
        <f t="shared" si="8"/>
        <v>r</v>
      </c>
      <c r="J118" t="s">
        <v>428</v>
      </c>
      <c r="K118" t="s">
        <v>690</v>
      </c>
      <c r="L118" t="s">
        <v>507</v>
      </c>
      <c r="M118" t="s">
        <v>497</v>
      </c>
      <c r="N118" t="s">
        <v>497</v>
      </c>
      <c r="O118" t="s">
        <v>507</v>
      </c>
      <c r="Y118" t="str">
        <f t="shared" si="7"/>
        <v>{0x7c,0x08,0x04,0x04,0x08}, // 0x72  'r'</v>
      </c>
    </row>
    <row r="119" spans="1:25" x14ac:dyDescent="0.3">
      <c r="A119" s="8">
        <v>115</v>
      </c>
      <c r="B119" t="str">
        <f t="shared" si="9"/>
        <v>0x73</v>
      </c>
      <c r="C119" s="224" t="s">
        <v>696</v>
      </c>
      <c r="D119" t="s">
        <v>664</v>
      </c>
      <c r="E119" t="s">
        <v>659</v>
      </c>
      <c r="F119" t="s">
        <v>659</v>
      </c>
      <c r="G119" t="s">
        <v>659</v>
      </c>
      <c r="H119" t="s">
        <v>514</v>
      </c>
      <c r="I119" s="1" t="str">
        <f t="shared" si="8"/>
        <v>s</v>
      </c>
      <c r="J119" t="s">
        <v>428</v>
      </c>
      <c r="K119" t="s">
        <v>667</v>
      </c>
      <c r="L119" t="s">
        <v>661</v>
      </c>
      <c r="M119" t="s">
        <v>661</v>
      </c>
      <c r="N119" t="s">
        <v>661</v>
      </c>
      <c r="O119" t="s">
        <v>519</v>
      </c>
      <c r="Y119" t="str">
        <f t="shared" si="7"/>
        <v>{0x48,0x54,0x54,0x54,0x20}, // 0x73  's'</v>
      </c>
    </row>
    <row r="120" spans="1:25" x14ac:dyDescent="0.3">
      <c r="A120" s="8">
        <v>116</v>
      </c>
      <c r="B120" t="str">
        <f t="shared" si="9"/>
        <v>0x74</v>
      </c>
      <c r="C120" s="224" t="s">
        <v>697</v>
      </c>
      <c r="D120" t="s">
        <v>379</v>
      </c>
      <c r="E120" t="s">
        <v>620</v>
      </c>
      <c r="F120" t="s">
        <v>665</v>
      </c>
      <c r="G120" t="s">
        <v>551</v>
      </c>
      <c r="H120" t="s">
        <v>514</v>
      </c>
      <c r="I120" s="1" t="str">
        <f t="shared" si="8"/>
        <v>t</v>
      </c>
      <c r="J120" t="s">
        <v>428</v>
      </c>
      <c r="K120" t="s">
        <v>497</v>
      </c>
      <c r="L120" t="s">
        <v>621</v>
      </c>
      <c r="M120" t="s">
        <v>668</v>
      </c>
      <c r="N120" t="s">
        <v>553</v>
      </c>
      <c r="O120" t="s">
        <v>519</v>
      </c>
      <c r="Y120" t="str">
        <f t="shared" si="7"/>
        <v>{0x04,0x3f,0x44,0x40,0x20}, // 0x74  't'</v>
      </c>
    </row>
    <row r="121" spans="1:25" x14ac:dyDescent="0.3">
      <c r="A121" s="8">
        <v>117</v>
      </c>
      <c r="B121" t="str">
        <f t="shared" si="9"/>
        <v>0x75</v>
      </c>
      <c r="C121" s="224" t="s">
        <v>698</v>
      </c>
      <c r="D121" t="s">
        <v>577</v>
      </c>
      <c r="E121" t="s">
        <v>551</v>
      </c>
      <c r="F121" t="s">
        <v>551</v>
      </c>
      <c r="G121" t="s">
        <v>514</v>
      </c>
      <c r="H121" t="s">
        <v>689</v>
      </c>
      <c r="I121" s="1" t="str">
        <f t="shared" si="8"/>
        <v>u</v>
      </c>
      <c r="J121" t="s">
        <v>428</v>
      </c>
      <c r="K121" t="s">
        <v>579</v>
      </c>
      <c r="L121" t="s">
        <v>553</v>
      </c>
      <c r="M121" t="s">
        <v>553</v>
      </c>
      <c r="N121" t="s">
        <v>519</v>
      </c>
      <c r="O121" t="s">
        <v>690</v>
      </c>
      <c r="Y121" t="str">
        <f t="shared" si="7"/>
        <v>{0x3c,0x40,0x40,0x20,0x7c}, // 0x75  'u'</v>
      </c>
    </row>
    <row r="122" spans="1:25" x14ac:dyDescent="0.3">
      <c r="A122" s="8">
        <v>118</v>
      </c>
      <c r="B122" t="str">
        <f t="shared" si="9"/>
        <v>0x76</v>
      </c>
      <c r="C122" s="224" t="s">
        <v>699</v>
      </c>
      <c r="D122" t="s">
        <v>523</v>
      </c>
      <c r="E122" t="s">
        <v>514</v>
      </c>
      <c r="F122" t="s">
        <v>551</v>
      </c>
      <c r="G122" t="s">
        <v>514</v>
      </c>
      <c r="H122" t="s">
        <v>523</v>
      </c>
      <c r="I122" s="1" t="str">
        <f t="shared" si="8"/>
        <v>v</v>
      </c>
      <c r="J122" t="s">
        <v>428</v>
      </c>
      <c r="K122" t="s">
        <v>526</v>
      </c>
      <c r="L122" t="s">
        <v>519</v>
      </c>
      <c r="M122" t="s">
        <v>553</v>
      </c>
      <c r="N122" t="s">
        <v>519</v>
      </c>
      <c r="O122" t="s">
        <v>526</v>
      </c>
      <c r="Y122" t="str">
        <f t="shared" si="7"/>
        <v>{0x1c,0x20,0x40,0x20,0x1c}, // 0x76  'v'</v>
      </c>
    </row>
    <row r="123" spans="1:25" x14ac:dyDescent="0.3">
      <c r="A123" s="8">
        <v>119</v>
      </c>
      <c r="B123" t="str">
        <f t="shared" si="9"/>
        <v>0x77</v>
      </c>
      <c r="C123" s="224" t="s">
        <v>700</v>
      </c>
      <c r="D123" t="s">
        <v>577</v>
      </c>
      <c r="E123" t="s">
        <v>551</v>
      </c>
      <c r="F123" t="s">
        <v>535</v>
      </c>
      <c r="G123" t="s">
        <v>551</v>
      </c>
      <c r="H123" t="s">
        <v>577</v>
      </c>
      <c r="I123" s="1" t="str">
        <f t="shared" si="8"/>
        <v>w</v>
      </c>
      <c r="J123" t="s">
        <v>428</v>
      </c>
      <c r="K123" t="s">
        <v>579</v>
      </c>
      <c r="L123" t="s">
        <v>553</v>
      </c>
      <c r="M123" t="s">
        <v>536</v>
      </c>
      <c r="N123" t="s">
        <v>553</v>
      </c>
      <c r="O123" t="s">
        <v>579</v>
      </c>
      <c r="Y123" t="str">
        <f t="shared" si="7"/>
        <v>{0x3c,0x40,0x30,0x40,0x3c}, // 0x77  'w'</v>
      </c>
    </row>
    <row r="124" spans="1:25" x14ac:dyDescent="0.3">
      <c r="A124" s="8">
        <v>120</v>
      </c>
      <c r="B124" t="str">
        <f t="shared" si="9"/>
        <v>0x78</v>
      </c>
      <c r="C124" s="224" t="s">
        <v>381</v>
      </c>
      <c r="D124" t="s">
        <v>665</v>
      </c>
      <c r="E124" t="s">
        <v>685</v>
      </c>
      <c r="F124" t="s">
        <v>541</v>
      </c>
      <c r="G124" t="s">
        <v>685</v>
      </c>
      <c r="H124" t="s">
        <v>665</v>
      </c>
      <c r="I124" s="1" t="str">
        <f t="shared" si="8"/>
        <v>x</v>
      </c>
      <c r="J124" t="s">
        <v>428</v>
      </c>
      <c r="K124" t="s">
        <v>668</v>
      </c>
      <c r="L124" t="s">
        <v>686</v>
      </c>
      <c r="M124" t="s">
        <v>543</v>
      </c>
      <c r="N124" t="s">
        <v>686</v>
      </c>
      <c r="O124" t="s">
        <v>668</v>
      </c>
      <c r="Y124" t="str">
        <f t="shared" si="7"/>
        <v>{0x44,0x28,0x10,0x28,0x44}, // 0x78  'x'</v>
      </c>
    </row>
    <row r="125" spans="1:25" x14ac:dyDescent="0.3">
      <c r="A125" s="8">
        <v>121</v>
      </c>
      <c r="B125" t="str">
        <f t="shared" si="9"/>
        <v>0x79</v>
      </c>
      <c r="C125" s="224" t="s">
        <v>701</v>
      </c>
      <c r="D125" t="s">
        <v>625</v>
      </c>
      <c r="E125" t="s">
        <v>515</v>
      </c>
      <c r="F125" t="s">
        <v>515</v>
      </c>
      <c r="G125" t="s">
        <v>515</v>
      </c>
      <c r="H125" t="s">
        <v>577</v>
      </c>
      <c r="I125" s="1" t="str">
        <f t="shared" si="8"/>
        <v>y</v>
      </c>
      <c r="J125" t="s">
        <v>428</v>
      </c>
      <c r="K125" t="s">
        <v>626</v>
      </c>
      <c r="L125" t="s">
        <v>520</v>
      </c>
      <c r="M125" t="s">
        <v>520</v>
      </c>
      <c r="N125" t="s">
        <v>520</v>
      </c>
      <c r="O125" t="s">
        <v>579</v>
      </c>
      <c r="Y125" t="str">
        <f t="shared" si="7"/>
        <v>{0x0c,0x50,0x50,0x50,0x3c}, // 0x79  'y'</v>
      </c>
    </row>
    <row r="126" spans="1:25" x14ac:dyDescent="0.3">
      <c r="A126" s="8">
        <v>122</v>
      </c>
      <c r="B126" t="str">
        <f t="shared" si="9"/>
        <v>0x7A</v>
      </c>
      <c r="C126" s="224" t="s">
        <v>702</v>
      </c>
      <c r="D126" t="s">
        <v>665</v>
      </c>
      <c r="E126" t="s">
        <v>503</v>
      </c>
      <c r="F126" t="s">
        <v>659</v>
      </c>
      <c r="G126" t="s">
        <v>703</v>
      </c>
      <c r="H126" t="s">
        <v>665</v>
      </c>
      <c r="I126" s="1" t="str">
        <f t="shared" si="8"/>
        <v>z</v>
      </c>
      <c r="J126" t="s">
        <v>428</v>
      </c>
      <c r="K126" t="s">
        <v>668</v>
      </c>
      <c r="L126" t="s">
        <v>508</v>
      </c>
      <c r="M126" t="s">
        <v>661</v>
      </c>
      <c r="N126" t="s">
        <v>704</v>
      </c>
      <c r="O126" t="s">
        <v>668</v>
      </c>
      <c r="Y126" t="str">
        <f t="shared" si="7"/>
        <v>{0x44,0x64,0x54,0x4c,0x44}, // 0x7A  'z'</v>
      </c>
    </row>
    <row r="127" spans="1:25" x14ac:dyDescent="0.3">
      <c r="A127" s="8">
        <v>123</v>
      </c>
      <c r="B127" t="str">
        <f t="shared" si="9"/>
        <v>0x7B</v>
      </c>
      <c r="C127" s="224" t="s">
        <v>705</v>
      </c>
      <c r="D127" t="s">
        <v>367</v>
      </c>
      <c r="E127" t="s">
        <v>502</v>
      </c>
      <c r="F127" t="s">
        <v>511</v>
      </c>
      <c r="G127" t="s">
        <v>525</v>
      </c>
      <c r="H127" t="s">
        <v>525</v>
      </c>
      <c r="I127" s="1" t="str">
        <f t="shared" si="8"/>
        <v>{</v>
      </c>
      <c r="J127" t="s">
        <v>428</v>
      </c>
      <c r="K127" t="s">
        <v>428</v>
      </c>
      <c r="L127" t="s">
        <v>507</v>
      </c>
      <c r="M127" t="s">
        <v>516</v>
      </c>
      <c r="N127" t="s">
        <v>528</v>
      </c>
      <c r="O127" t="s">
        <v>528</v>
      </c>
      <c r="Y127" t="str">
        <f t="shared" si="7"/>
        <v>{0x00,0x08,0x36,0x41,0x41}, // 0x7B  '{'</v>
      </c>
    </row>
    <row r="128" spans="1:25" x14ac:dyDescent="0.3">
      <c r="A128" s="8">
        <v>124</v>
      </c>
      <c r="B128" t="str">
        <f t="shared" si="9"/>
        <v>0x7C</v>
      </c>
      <c r="C128" s="224" t="s">
        <v>706</v>
      </c>
      <c r="D128" t="s">
        <v>367</v>
      </c>
      <c r="E128" t="s">
        <v>367</v>
      </c>
      <c r="F128" t="s">
        <v>492</v>
      </c>
      <c r="G128" t="s">
        <v>367</v>
      </c>
      <c r="H128" t="s">
        <v>367</v>
      </c>
      <c r="I128" s="1" t="str">
        <f t="shared" si="8"/>
        <v>|</v>
      </c>
      <c r="J128" t="s">
        <v>428</v>
      </c>
      <c r="K128" t="s">
        <v>428</v>
      </c>
      <c r="L128" t="s">
        <v>428</v>
      </c>
      <c r="M128" t="s">
        <v>494</v>
      </c>
      <c r="N128" t="s">
        <v>428</v>
      </c>
      <c r="O128" t="s">
        <v>428</v>
      </c>
      <c r="Y128" t="str">
        <f t="shared" si="7"/>
        <v>{0x00,0x00,0x7f,0x00,0x00}, // 0x7C  '|'</v>
      </c>
    </row>
    <row r="129" spans="1:25" x14ac:dyDescent="0.3">
      <c r="A129" s="8">
        <v>125</v>
      </c>
      <c r="B129" t="str">
        <f t="shared" si="9"/>
        <v>0x7D</v>
      </c>
      <c r="C129" s="224" t="s">
        <v>707</v>
      </c>
      <c r="D129" t="s">
        <v>525</v>
      </c>
      <c r="E129" t="s">
        <v>525</v>
      </c>
      <c r="F129" t="s">
        <v>511</v>
      </c>
      <c r="G129" t="s">
        <v>502</v>
      </c>
      <c r="H129" t="s">
        <v>367</v>
      </c>
      <c r="I129" s="1" t="str">
        <f t="shared" si="8"/>
        <v>}</v>
      </c>
      <c r="J129" t="s">
        <v>428</v>
      </c>
      <c r="K129" t="s">
        <v>528</v>
      </c>
      <c r="L129" t="s">
        <v>528</v>
      </c>
      <c r="M129" t="s">
        <v>516</v>
      </c>
      <c r="N129" t="s">
        <v>507</v>
      </c>
      <c r="O129" t="s">
        <v>428</v>
      </c>
      <c r="Y129" t="str">
        <f t="shared" si="7"/>
        <v>{0x41,0x41,0x36,0x08,0x00}, // 0x7D  '}'</v>
      </c>
    </row>
    <row r="130" spans="1:25" x14ac:dyDescent="0.3">
      <c r="A130" s="8">
        <v>126</v>
      </c>
      <c r="B130" t="str">
        <f t="shared" si="9"/>
        <v>0x7E</v>
      </c>
      <c r="C130" s="224" t="s">
        <v>708</v>
      </c>
      <c r="D130" t="s">
        <v>379</v>
      </c>
      <c r="E130" t="s">
        <v>542</v>
      </c>
      <c r="F130" t="s">
        <v>379</v>
      </c>
      <c r="G130" t="s">
        <v>502</v>
      </c>
      <c r="H130" t="s">
        <v>379</v>
      </c>
      <c r="I130" s="1" t="str">
        <f t="shared" si="8"/>
        <v>~</v>
      </c>
      <c r="J130" t="s">
        <v>428</v>
      </c>
      <c r="K130" t="s">
        <v>497</v>
      </c>
      <c r="L130" t="s">
        <v>544</v>
      </c>
      <c r="M130" t="s">
        <v>497</v>
      </c>
      <c r="N130" t="s">
        <v>507</v>
      </c>
      <c r="O130" t="s">
        <v>497</v>
      </c>
      <c r="Y130" t="str">
        <f t="shared" si="7"/>
        <v>{0x04,0x02,0x04,0x08,0x04}, // 0x7E  '~'</v>
      </c>
    </row>
    <row r="131" spans="1:25" x14ac:dyDescent="0.3">
      <c r="A131" s="8">
        <v>127</v>
      </c>
      <c r="B131" t="str">
        <f t="shared" si="9"/>
        <v>0x7F</v>
      </c>
      <c r="C131" s="224" t="s">
        <v>484</v>
      </c>
      <c r="D131" t="s">
        <v>492</v>
      </c>
      <c r="E131" t="s">
        <v>709</v>
      </c>
      <c r="F131" t="s">
        <v>709</v>
      </c>
      <c r="G131" t="s">
        <v>709</v>
      </c>
      <c r="H131" t="s">
        <v>492</v>
      </c>
      <c r="I131" s="1" t="str">
        <f t="shared" si="8"/>
        <v></v>
      </c>
      <c r="J131" t="s">
        <v>428</v>
      </c>
      <c r="K131" t="s">
        <v>494</v>
      </c>
      <c r="L131" t="s">
        <v>710</v>
      </c>
      <c r="M131" t="s">
        <v>710</v>
      </c>
      <c r="N131" t="s">
        <v>710</v>
      </c>
      <c r="O131" t="s">
        <v>494</v>
      </c>
      <c r="Y131" t="str">
        <f t="shared" si="7"/>
        <v>{0x7f,0x6b,0x6b,0x6b,0x7f}, // 0x7F  ' '</v>
      </c>
    </row>
    <row r="132" spans="1:25" x14ac:dyDescent="0.3">
      <c r="Y132" t="s">
        <v>711</v>
      </c>
    </row>
  </sheetData>
  <conditionalFormatting sqref="R4:W11">
    <cfRule type="expression" dxfId="1" priority="1">
      <formula>R4="."</formula>
    </cfRule>
  </conditionalFormatting>
  <conditionalFormatting sqref="R36:W43">
    <cfRule type="expression" dxfId="0" priority="2">
      <formula>R36="."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Interface Specs</vt:lpstr>
      <vt:lpstr>Commands</vt:lpstr>
      <vt:lpstr>CD vs. SN</vt:lpstr>
      <vt:lpstr>ICs</vt:lpstr>
      <vt:lpstr>TIming</vt:lpstr>
      <vt:lpstr>DB9</vt:lpstr>
      <vt:lpstr>Transition Cable</vt:lpstr>
      <vt:lpstr>Shield Wiring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Tom Harkaway</cp:lastModifiedBy>
  <cp:lastPrinted>2018-12-27T22:20:45Z</cp:lastPrinted>
  <dcterms:created xsi:type="dcterms:W3CDTF">2017-12-18T00:42:49Z</dcterms:created>
  <dcterms:modified xsi:type="dcterms:W3CDTF">2026-03-21T03:02:10Z</dcterms:modified>
</cp:coreProperties>
</file>