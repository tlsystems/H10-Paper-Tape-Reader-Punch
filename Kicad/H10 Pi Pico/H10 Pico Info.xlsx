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athkit H10 Paper Tape Punch-Reader\H10-Paper-Tape-Reader-Punch\Kicad\H10 Pi Pico\"/>
    </mc:Choice>
  </mc:AlternateContent>
  <xr:revisionPtr revIDLastSave="0" documentId="13_ncr:1_{D17CB7BD-1D2A-4150-AAE5-4716D2CFDADF}" xr6:coauthVersionLast="47" xr6:coauthVersionMax="47" xr10:uidLastSave="{00000000-0000-0000-0000-000000000000}"/>
  <bookViews>
    <workbookView xWindow="4920" yWindow="756" windowWidth="20352" windowHeight="14568" firstSheet="3" activeTab="7" xr2:uid="{935E9EDB-3516-4202-A772-0300CBF99495}"/>
  </bookViews>
  <sheets>
    <sheet name="RedBoard T" sheetId="1" r:id="rId1"/>
    <sheet name="ATSAMD21G18" sheetId="3" r:id="rId2"/>
    <sheet name="CPU Options" sheetId="2" r:id="rId3"/>
    <sheet name="TTL-3V3" sheetId="4" r:id="rId4"/>
    <sheet name="Char Map" sheetId="6" r:id="rId5"/>
    <sheet name="Simulator Wiring" sheetId="7" r:id="rId6"/>
    <sheet name="Pi Pico Pinout" sheetId="11" r:id="rId7"/>
    <sheet name="RS232" sheetId="8" r:id="rId8"/>
  </sheets>
  <definedNames>
    <definedName name="Ethernet">#REF!</definedName>
    <definedName name="SAMD21G">ATSAMD21G18!$A$2:$O$49</definedName>
    <definedName name="WIZ550i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" i="6" l="1"/>
  <c r="O1" i="6"/>
  <c r="N1" i="6"/>
  <c r="M1" i="6"/>
  <c r="L1" i="6"/>
  <c r="K1" i="6"/>
  <c r="J99" i="6"/>
  <c r="B99" i="6"/>
  <c r="Z99" i="6" s="1"/>
  <c r="J98" i="6"/>
  <c r="B98" i="6"/>
  <c r="Z98" i="6" s="1"/>
  <c r="Z97" i="6"/>
  <c r="J97" i="6"/>
  <c r="B97" i="6"/>
  <c r="Z96" i="6"/>
  <c r="J96" i="6"/>
  <c r="B96" i="6"/>
  <c r="J95" i="6"/>
  <c r="B95" i="6"/>
  <c r="Z95" i="6" s="1"/>
  <c r="Z94" i="6"/>
  <c r="J94" i="6"/>
  <c r="B94" i="6"/>
  <c r="J93" i="6"/>
  <c r="B93" i="6"/>
  <c r="Z93" i="6" s="1"/>
  <c r="J92" i="6"/>
  <c r="B92" i="6"/>
  <c r="Z92" i="6" s="1"/>
  <c r="Z91" i="6"/>
  <c r="J91" i="6"/>
  <c r="B91" i="6"/>
  <c r="Z90" i="6"/>
  <c r="J90" i="6"/>
  <c r="B90" i="6"/>
  <c r="Z89" i="6"/>
  <c r="J89" i="6"/>
  <c r="B89" i="6"/>
  <c r="J88" i="6"/>
  <c r="B88" i="6"/>
  <c r="Z88" i="6" s="1"/>
  <c r="J87" i="6"/>
  <c r="B87" i="6"/>
  <c r="Z87" i="6" s="1"/>
  <c r="Z86" i="6"/>
  <c r="J86" i="6"/>
  <c r="B86" i="6"/>
  <c r="J85" i="6"/>
  <c r="B85" i="6"/>
  <c r="Z85" i="6" s="1"/>
  <c r="J84" i="6"/>
  <c r="B84" i="6"/>
  <c r="Z84" i="6" s="1"/>
  <c r="Z83" i="6"/>
  <c r="J83" i="6"/>
  <c r="B83" i="6"/>
  <c r="Z82" i="6"/>
  <c r="J82" i="6"/>
  <c r="B82" i="6"/>
  <c r="Z81" i="6"/>
  <c r="J81" i="6"/>
  <c r="B81" i="6"/>
  <c r="J80" i="6"/>
  <c r="B80" i="6"/>
  <c r="Z80" i="6" s="1"/>
  <c r="J79" i="6"/>
  <c r="B79" i="6"/>
  <c r="Z79" i="6" s="1"/>
  <c r="Z78" i="6"/>
  <c r="J78" i="6"/>
  <c r="B78" i="6"/>
  <c r="J77" i="6"/>
  <c r="B77" i="6"/>
  <c r="Z77" i="6" s="1"/>
  <c r="J76" i="6"/>
  <c r="B76" i="6"/>
  <c r="Z76" i="6" s="1"/>
  <c r="Z75" i="6"/>
  <c r="J75" i="6"/>
  <c r="B75" i="6"/>
  <c r="Z74" i="6"/>
  <c r="J74" i="6"/>
  <c r="B74" i="6"/>
  <c r="Z73" i="6"/>
  <c r="J73" i="6"/>
  <c r="B73" i="6"/>
  <c r="J72" i="6"/>
  <c r="B72" i="6"/>
  <c r="Z72" i="6" s="1"/>
  <c r="J71" i="6"/>
  <c r="B71" i="6"/>
  <c r="Z71" i="6" s="1"/>
  <c r="Z70" i="6"/>
  <c r="J70" i="6"/>
  <c r="B70" i="6"/>
  <c r="J69" i="6"/>
  <c r="B69" i="6"/>
  <c r="Z69" i="6" s="1"/>
  <c r="J68" i="6"/>
  <c r="B68" i="6"/>
  <c r="Z68" i="6" s="1"/>
  <c r="Z67" i="6"/>
  <c r="J67" i="6"/>
  <c r="B67" i="6"/>
  <c r="Z66" i="6"/>
  <c r="J66" i="6"/>
  <c r="B66" i="6"/>
  <c r="Z65" i="6"/>
  <c r="J65" i="6"/>
  <c r="B65" i="6"/>
  <c r="J64" i="6"/>
  <c r="B64" i="6"/>
  <c r="Z64" i="6" s="1"/>
  <c r="J63" i="6"/>
  <c r="B63" i="6"/>
  <c r="Z63" i="6" s="1"/>
  <c r="Z62" i="6"/>
  <c r="J62" i="6"/>
  <c r="B62" i="6"/>
  <c r="J61" i="6"/>
  <c r="B61" i="6"/>
  <c r="Z61" i="6" s="1"/>
  <c r="J60" i="6"/>
  <c r="B60" i="6"/>
  <c r="Z60" i="6" s="1"/>
  <c r="Z59" i="6"/>
  <c r="J59" i="6"/>
  <c r="B59" i="6"/>
  <c r="J58" i="6"/>
  <c r="B58" i="6"/>
  <c r="Z58" i="6" s="1"/>
  <c r="Z57" i="6"/>
  <c r="J57" i="6"/>
  <c r="B57" i="6"/>
  <c r="J56" i="6"/>
  <c r="B56" i="6"/>
  <c r="Z56" i="6" s="1"/>
  <c r="J55" i="6"/>
  <c r="B55" i="6"/>
  <c r="Z55" i="6" s="1"/>
  <c r="Z54" i="6"/>
  <c r="J54" i="6"/>
  <c r="B54" i="6"/>
  <c r="J53" i="6"/>
  <c r="B53" i="6"/>
  <c r="Z53" i="6" s="1"/>
  <c r="J52" i="6"/>
  <c r="B52" i="6"/>
  <c r="Z52" i="6" s="1"/>
  <c r="Z51" i="6"/>
  <c r="J51" i="6"/>
  <c r="B51" i="6"/>
  <c r="J50" i="6"/>
  <c r="B50" i="6"/>
  <c r="Z50" i="6" s="1"/>
  <c r="Z49" i="6"/>
  <c r="J49" i="6"/>
  <c r="B49" i="6"/>
  <c r="J48" i="6"/>
  <c r="B48" i="6"/>
  <c r="Z48" i="6" s="1"/>
  <c r="J47" i="6"/>
  <c r="B47" i="6"/>
  <c r="Z47" i="6" s="1"/>
  <c r="Z46" i="6"/>
  <c r="J46" i="6"/>
  <c r="B46" i="6"/>
  <c r="J45" i="6"/>
  <c r="B45" i="6"/>
  <c r="Z45" i="6" s="1"/>
  <c r="J44" i="6"/>
  <c r="B44" i="6"/>
  <c r="Z44" i="6" s="1"/>
  <c r="Z43" i="6"/>
  <c r="J43" i="6"/>
  <c r="B43" i="6"/>
  <c r="J42" i="6"/>
  <c r="B42" i="6"/>
  <c r="Z42" i="6" s="1"/>
  <c r="Z41" i="6"/>
  <c r="J41" i="6"/>
  <c r="B41" i="6"/>
  <c r="J40" i="6"/>
  <c r="B40" i="6"/>
  <c r="Z40" i="6" s="1"/>
  <c r="J39" i="6"/>
  <c r="B39" i="6"/>
  <c r="Z39" i="6" s="1"/>
  <c r="Z38" i="6"/>
  <c r="J38" i="6"/>
  <c r="B38" i="6"/>
  <c r="J37" i="6"/>
  <c r="B37" i="6"/>
  <c r="Z37" i="6" s="1"/>
  <c r="J36" i="6"/>
  <c r="B36" i="6"/>
  <c r="Z36" i="6" s="1"/>
  <c r="Z35" i="6"/>
  <c r="J35" i="6"/>
  <c r="B35" i="6"/>
  <c r="J34" i="6"/>
  <c r="B34" i="6"/>
  <c r="Z34" i="6" s="1"/>
  <c r="Z33" i="6"/>
  <c r="J33" i="6"/>
  <c r="B33" i="6"/>
  <c r="J32" i="6"/>
  <c r="B32" i="6"/>
  <c r="Z32" i="6" s="1"/>
  <c r="J31" i="6"/>
  <c r="B31" i="6"/>
  <c r="Z31" i="6" s="1"/>
  <c r="Z30" i="6"/>
  <c r="J30" i="6"/>
  <c r="B30" i="6"/>
  <c r="J29" i="6"/>
  <c r="B29" i="6"/>
  <c r="Z29" i="6" s="1"/>
  <c r="J28" i="6"/>
  <c r="B28" i="6"/>
  <c r="Z28" i="6" s="1"/>
  <c r="Z27" i="6"/>
  <c r="J27" i="6"/>
  <c r="B27" i="6"/>
  <c r="J26" i="6"/>
  <c r="B26" i="6"/>
  <c r="Z26" i="6" s="1"/>
  <c r="Z25" i="6"/>
  <c r="J25" i="6"/>
  <c r="B25" i="6"/>
  <c r="J24" i="6"/>
  <c r="B24" i="6"/>
  <c r="Z24" i="6" s="1"/>
  <c r="J23" i="6"/>
  <c r="B23" i="6"/>
  <c r="Z23" i="6" s="1"/>
  <c r="Z22" i="6"/>
  <c r="J22" i="6"/>
  <c r="B22" i="6"/>
  <c r="J21" i="6"/>
  <c r="B21" i="6"/>
  <c r="Z21" i="6" s="1"/>
  <c r="J20" i="6"/>
  <c r="B20" i="6"/>
  <c r="Z20" i="6" s="1"/>
  <c r="Z19" i="6"/>
  <c r="J19" i="6"/>
  <c r="B19" i="6"/>
  <c r="J18" i="6"/>
  <c r="B18" i="6"/>
  <c r="Z18" i="6" s="1"/>
  <c r="Z17" i="6"/>
  <c r="J17" i="6"/>
  <c r="B17" i="6"/>
  <c r="J16" i="6"/>
  <c r="B16" i="6"/>
  <c r="Z16" i="6" s="1"/>
  <c r="J15" i="6"/>
  <c r="B15" i="6"/>
  <c r="Z15" i="6" s="1"/>
  <c r="Z14" i="6"/>
  <c r="J14" i="6"/>
  <c r="B14" i="6"/>
  <c r="J13" i="6"/>
  <c r="B13" i="6"/>
  <c r="Z13" i="6" s="1"/>
  <c r="J12" i="6"/>
  <c r="B12" i="6"/>
  <c r="Z12" i="6" s="1"/>
  <c r="J11" i="6"/>
  <c r="B11" i="6"/>
  <c r="Z11" i="6" s="1"/>
  <c r="J10" i="6"/>
  <c r="B10" i="6"/>
  <c r="Z10" i="6" s="1"/>
  <c r="J9" i="6"/>
  <c r="B9" i="6"/>
  <c r="Z9" i="6" s="1"/>
  <c r="J8" i="6"/>
  <c r="B8" i="6"/>
  <c r="Z8" i="6" s="1"/>
  <c r="J7" i="6"/>
  <c r="B7" i="6"/>
  <c r="Z7" i="6" s="1"/>
  <c r="J6" i="6"/>
  <c r="B6" i="6"/>
  <c r="Z6" i="6" s="1"/>
  <c r="J5" i="6"/>
  <c r="B5" i="6"/>
  <c r="Z5" i="6" s="1"/>
  <c r="J4" i="6"/>
  <c r="B4" i="6"/>
  <c r="Z4" i="6" s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L2" i="6"/>
  <c r="P2" i="6"/>
  <c r="N2" i="6"/>
  <c r="O2" i="6"/>
  <c r="M2" i="6"/>
  <c r="W5" i="6" l="1"/>
  <c r="W6" i="6"/>
  <c r="W4" i="6"/>
  <c r="W11" i="6"/>
  <c r="W10" i="6"/>
  <c r="W7" i="6"/>
  <c r="W9" i="6"/>
  <c r="W8" i="6"/>
  <c r="X4" i="6"/>
  <c r="X6" i="6"/>
  <c r="X5" i="6"/>
  <c r="X11" i="6"/>
  <c r="X10" i="6"/>
  <c r="X9" i="6"/>
  <c r="X7" i="6"/>
  <c r="X8" i="6"/>
  <c r="V6" i="6"/>
  <c r="V8" i="6"/>
  <c r="V5" i="6"/>
  <c r="V4" i="6"/>
  <c r="V11" i="6"/>
  <c r="V9" i="6"/>
  <c r="V7" i="6"/>
  <c r="V10" i="6"/>
  <c r="T8" i="6"/>
  <c r="T11" i="6"/>
  <c r="T9" i="6"/>
  <c r="T7" i="6"/>
  <c r="T6" i="6"/>
  <c r="T5" i="6"/>
  <c r="T10" i="6"/>
  <c r="T4" i="6"/>
  <c r="U7" i="6"/>
  <c r="U8" i="6"/>
  <c r="U6" i="6"/>
  <c r="U5" i="6"/>
  <c r="U4" i="6"/>
  <c r="U9" i="6"/>
  <c r="U11" i="6"/>
  <c r="U10" i="6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K2" i="6"/>
  <c r="S9" i="6" l="1"/>
  <c r="S11" i="6"/>
  <c r="S4" i="6"/>
  <c r="S10" i="6"/>
  <c r="S8" i="6"/>
  <c r="S6" i="6"/>
  <c r="S7" i="6"/>
  <c r="S5" i="6"/>
</calcChain>
</file>

<file path=xl/sharedStrings.xml><?xml version="1.0" encoding="utf-8"?>
<sst xmlns="http://schemas.openxmlformats.org/spreadsheetml/2006/main" count="2585" uniqueCount="922">
  <si>
    <t>D2</t>
  </si>
  <si>
    <t>D7</t>
  </si>
  <si>
    <t>SDA</t>
  </si>
  <si>
    <t>SCL</t>
  </si>
  <si>
    <t>D1/TX0</t>
  </si>
  <si>
    <t>A1</t>
  </si>
  <si>
    <t>A2</t>
  </si>
  <si>
    <t>A3</t>
  </si>
  <si>
    <t>A4</t>
  </si>
  <si>
    <t>A5</t>
  </si>
  <si>
    <t>RESET~</t>
  </si>
  <si>
    <t>VIN</t>
  </si>
  <si>
    <t>5V</t>
  </si>
  <si>
    <t>AREF</t>
  </si>
  <si>
    <t>GND</t>
  </si>
  <si>
    <t>REF</t>
  </si>
  <si>
    <t>3V3</t>
  </si>
  <si>
    <t>J2-1</t>
  </si>
  <si>
    <t>J2-2</t>
  </si>
  <si>
    <t>J2-3</t>
  </si>
  <si>
    <t>J2-4</t>
  </si>
  <si>
    <t>VCC</t>
  </si>
  <si>
    <t>JP6-10</t>
  </si>
  <si>
    <t>SWDIO/TMD</t>
  </si>
  <si>
    <t>SWDCLK/TCK</t>
  </si>
  <si>
    <t>KEY</t>
  </si>
  <si>
    <t>NC/TDI</t>
  </si>
  <si>
    <t>GNDDTCT</t>
  </si>
  <si>
    <t>NRESET</t>
  </si>
  <si>
    <t>TP1</t>
  </si>
  <si>
    <t>RX_LED/SWDIO</t>
  </si>
  <si>
    <t>SWO/TDO</t>
  </si>
  <si>
    <t>PA02</t>
  </si>
  <si>
    <t>PA12</t>
  </si>
  <si>
    <t>PA22</t>
  </si>
  <si>
    <t>PA03</t>
  </si>
  <si>
    <t>PA04</t>
  </si>
  <si>
    <t>PA05</t>
  </si>
  <si>
    <t>PA06</t>
  </si>
  <si>
    <t>PA07</t>
  </si>
  <si>
    <t>PB02</t>
  </si>
  <si>
    <t>FLASH_MISO</t>
  </si>
  <si>
    <t>PB03</t>
  </si>
  <si>
    <t>PB08</t>
  </si>
  <si>
    <t>PB09</t>
  </si>
  <si>
    <t>DAC</t>
  </si>
  <si>
    <t>PA08</t>
  </si>
  <si>
    <t>PA09</t>
  </si>
  <si>
    <t>PA10</t>
  </si>
  <si>
    <t>DO/RXI</t>
  </si>
  <si>
    <t>PA11</t>
  </si>
  <si>
    <t>SPI_MOSI</t>
  </si>
  <si>
    <t>SPI_MISO</t>
  </si>
  <si>
    <t>SPI_SCK</t>
  </si>
  <si>
    <t>FLASH_CS</t>
  </si>
  <si>
    <t>PA13</t>
  </si>
  <si>
    <t>PA14</t>
  </si>
  <si>
    <t>PA15</t>
  </si>
  <si>
    <t>PA16</t>
  </si>
  <si>
    <t>PA17</t>
  </si>
  <si>
    <t>PA18</t>
  </si>
  <si>
    <t>PA19</t>
  </si>
  <si>
    <t>PA20</t>
  </si>
  <si>
    <t>PA21</t>
  </si>
  <si>
    <t>PA23</t>
  </si>
  <si>
    <t>USB_D-</t>
  </si>
  <si>
    <t>USB_D+</t>
  </si>
  <si>
    <t>TX_LED</t>
  </si>
  <si>
    <t>J3-1</t>
  </si>
  <si>
    <t>J3-2</t>
  </si>
  <si>
    <t>J3-3</t>
  </si>
  <si>
    <t>J3-5</t>
  </si>
  <si>
    <t>J3-4</t>
  </si>
  <si>
    <t>J3-6</t>
  </si>
  <si>
    <t>PA27</t>
  </si>
  <si>
    <t>PA28</t>
  </si>
  <si>
    <t>USB_HOST_EN</t>
  </si>
  <si>
    <t>LED/SWCLK</t>
  </si>
  <si>
    <t>PA30</t>
  </si>
  <si>
    <t>SWCLK</t>
  </si>
  <si>
    <t>PA31</t>
  </si>
  <si>
    <t>PB10</t>
  </si>
  <si>
    <t>PB11</t>
  </si>
  <si>
    <t>FLASH_MOSI</t>
  </si>
  <si>
    <t>PB22</t>
  </si>
  <si>
    <t>FLASH_SCK</t>
  </si>
  <si>
    <t>PB23</t>
  </si>
  <si>
    <t>seq</t>
  </si>
  <si>
    <t>VDDIN</t>
  </si>
  <si>
    <t>VDDCORE</t>
  </si>
  <si>
    <t>RTC XTAL</t>
  </si>
  <si>
    <t>PA00</t>
  </si>
  <si>
    <t>PA01</t>
  </si>
  <si>
    <t>Pin</t>
  </si>
  <si>
    <t>Connector</t>
  </si>
  <si>
    <t>GNDANA</t>
  </si>
  <si>
    <t>VDDIO</t>
  </si>
  <si>
    <t>ATSAMD21G18</t>
  </si>
  <si>
    <t>Program Memory</t>
  </si>
  <si>
    <t>Data Memory</t>
  </si>
  <si>
    <t>Pins</t>
  </si>
  <si>
    <t>Internal</t>
  </si>
  <si>
    <t>External</t>
  </si>
  <si>
    <t>USB</t>
  </si>
  <si>
    <t>SERCOM</t>
  </si>
  <si>
    <t>TCC</t>
  </si>
  <si>
    <t>I2S</t>
  </si>
  <si>
    <t>DMA</t>
  </si>
  <si>
    <t>RTC</t>
  </si>
  <si>
    <t>WDT</t>
  </si>
  <si>
    <t>Event SYstem</t>
  </si>
  <si>
    <t>External Interrupts</t>
  </si>
  <si>
    <t>I/O Pins</t>
  </si>
  <si>
    <t>ADC Channels</t>
  </si>
  <si>
    <t>PTC</t>
  </si>
  <si>
    <t>120/10</t>
  </si>
  <si>
    <t>Y</t>
  </si>
  <si>
    <t>Analog Comparator</t>
  </si>
  <si>
    <t>XOSC32K,XOSC</t>
  </si>
  <si>
    <t>32K</t>
  </si>
  <si>
    <t>256K</t>
  </si>
  <si>
    <t>Supply</t>
  </si>
  <si>
    <t>VDDANA</t>
  </si>
  <si>
    <t>EXTINT[13]</t>
  </si>
  <si>
    <t>NMI</t>
  </si>
  <si>
    <t>I2S/SD[0]</t>
  </si>
  <si>
    <t>I2S/SD[1]</t>
  </si>
  <si>
    <t>GCLK_IO[4]</t>
  </si>
  <si>
    <t>GCLK_IO[5]</t>
  </si>
  <si>
    <t>EXTINT[0]</t>
  </si>
  <si>
    <t>EXTINT[1]</t>
  </si>
  <si>
    <t>EXTINT[2]</t>
  </si>
  <si>
    <t>AIN[0]</t>
  </si>
  <si>
    <t>Y[0]</t>
  </si>
  <si>
    <t>VOUT</t>
  </si>
  <si>
    <t>EXTINT[3]</t>
  </si>
  <si>
    <t>AIN[1]</t>
  </si>
  <si>
    <t>Y[1]</t>
  </si>
  <si>
    <t>EXTINT[4]</t>
  </si>
  <si>
    <t>EXTINT[5]</t>
  </si>
  <si>
    <t>EXTINT[6]</t>
  </si>
  <si>
    <t>EXTINT[7]</t>
  </si>
  <si>
    <t>EXTINT[8]</t>
  </si>
  <si>
    <t>AIN[2]</t>
  </si>
  <si>
    <t>Y[14]</t>
  </si>
  <si>
    <t>EXTINT[9]</t>
  </si>
  <si>
    <t>AIN[3]</t>
  </si>
  <si>
    <t>Y[15]</t>
  </si>
  <si>
    <t>ADC/VREFB</t>
  </si>
  <si>
    <t>AIN[4]</t>
  </si>
  <si>
    <t>Y[2]</t>
  </si>
  <si>
    <t>AIN[5]</t>
  </si>
  <si>
    <t>Y[3]</t>
  </si>
  <si>
    <t>AIN[6]</t>
  </si>
  <si>
    <t>Y[4]</t>
  </si>
  <si>
    <t>AIN[7]</t>
  </si>
  <si>
    <t>Y[5]</t>
  </si>
  <si>
    <t>AIN[16]</t>
  </si>
  <si>
    <t>X[0]</t>
  </si>
  <si>
    <t>AIN[17]</t>
  </si>
  <si>
    <t>X[1]</t>
  </si>
  <si>
    <t>I2S/MCK[0]</t>
  </si>
  <si>
    <t>EXTINT[10]</t>
  </si>
  <si>
    <t>AIN[18]</t>
  </si>
  <si>
    <t>X[2]</t>
  </si>
  <si>
    <t>I2S/SCK[0]</t>
  </si>
  <si>
    <t>EXTINT[11]</t>
  </si>
  <si>
    <t>AIN[19]</t>
  </si>
  <si>
    <t>X[3]</t>
  </si>
  <si>
    <t>I2S/FS[0]</t>
  </si>
  <si>
    <t>I2S/MCK[1]</t>
  </si>
  <si>
    <t>I2S/SCK[1]</t>
  </si>
  <si>
    <t>EXTINT[12]</t>
  </si>
  <si>
    <t>GCLK_IO[6]</t>
  </si>
  <si>
    <t>GCLK_IO[7]</t>
  </si>
  <si>
    <t>EXTINT[14]</t>
  </si>
  <si>
    <t>GCLK_IO[0]</t>
  </si>
  <si>
    <t>EXTINT[15]</t>
  </si>
  <si>
    <t>GCLK_IO[1]</t>
  </si>
  <si>
    <t>AC/CMP[0]</t>
  </si>
  <si>
    <t>AC/CMP[1]</t>
  </si>
  <si>
    <t>X[4]</t>
  </si>
  <si>
    <t>GCLK_IO[2]</t>
  </si>
  <si>
    <t>X[5]</t>
  </si>
  <si>
    <t>GCLK_IO[3]</t>
  </si>
  <si>
    <t>X[6]</t>
  </si>
  <si>
    <t>X[7]</t>
  </si>
  <si>
    <t>X[8]</t>
  </si>
  <si>
    <t>X[9]</t>
  </si>
  <si>
    <t>X[10]</t>
  </si>
  <si>
    <t>X[11]</t>
  </si>
  <si>
    <t>PA24(6)</t>
  </si>
  <si>
    <t>USB/DM</t>
  </si>
  <si>
    <t>PA25(6)</t>
  </si>
  <si>
    <t>USB/DP</t>
  </si>
  <si>
    <t>SWDIO(5)</t>
  </si>
  <si>
    <t>AIN[10]</t>
  </si>
  <si>
    <t>Y[8]</t>
  </si>
  <si>
    <t>AIN[11]</t>
  </si>
  <si>
    <t>Y[9]</t>
  </si>
  <si>
    <t>I/O Pin</t>
  </si>
  <si>
    <t>EIC</t>
  </si>
  <si>
    <t>ADC</t>
  </si>
  <si>
    <t>ALT</t>
  </si>
  <si>
    <t>TC/TCC</t>
  </si>
  <si>
    <t>COM</t>
  </si>
  <si>
    <t>ADC/VREFA/DAC/VREFA</t>
  </si>
  <si>
    <t>AC</t>
  </si>
  <si>
    <t>AC/GCLK</t>
  </si>
  <si>
    <t>USB/SOF 1kHz</t>
  </si>
  <si>
    <t>VBUS</t>
  </si>
  <si>
    <t>D-</t>
  </si>
  <si>
    <t>D+</t>
  </si>
  <si>
    <t>ID</t>
  </si>
  <si>
    <t>SHIELD</t>
  </si>
  <si>
    <t>ExtPower</t>
  </si>
  <si>
    <t>JP1-Tip</t>
  </si>
  <si>
    <t>JP1-Sleeve</t>
  </si>
  <si>
    <t>JP6-01</t>
  </si>
  <si>
    <t>JP6-02</t>
  </si>
  <si>
    <t>JP6-03</t>
  </si>
  <si>
    <t>JP6-04</t>
  </si>
  <si>
    <t>JP6-05</t>
  </si>
  <si>
    <t>JP6-06</t>
  </si>
  <si>
    <t>JP6-07</t>
  </si>
  <si>
    <t>JP6-08</t>
  </si>
  <si>
    <t>JP6-09</t>
  </si>
  <si>
    <t>SER</t>
  </si>
  <si>
    <t>SERCOM1:0</t>
  </si>
  <si>
    <t>SERCOM1:1</t>
  </si>
  <si>
    <t>SERCOM4:0</t>
  </si>
  <si>
    <t>SERCOM4:1</t>
  </si>
  <si>
    <t>SERCOM0:0</t>
  </si>
  <si>
    <t>SERCOM0:1</t>
  </si>
  <si>
    <t>SERCOM0:2</t>
  </si>
  <si>
    <t>SERCOM0:3</t>
  </si>
  <si>
    <t>SERCOM2:0</t>
  </si>
  <si>
    <t>SERCOM2:1</t>
  </si>
  <si>
    <t>SERCOM2:2</t>
  </si>
  <si>
    <t>SERCOM2:3</t>
  </si>
  <si>
    <t>SERCOM4:2</t>
  </si>
  <si>
    <t>SERCOM4:3</t>
  </si>
  <si>
    <t>SERCOM3:0</t>
  </si>
  <si>
    <t>SERCOM3:1</t>
  </si>
  <si>
    <t>SERCOM1:2</t>
  </si>
  <si>
    <t>SERCOM3:2</t>
  </si>
  <si>
    <t>SERCOM1:3</t>
  </si>
  <si>
    <t>SERCOM3:3</t>
  </si>
  <si>
    <t>SERCOM5:2</t>
  </si>
  <si>
    <t>SERCOM5:3</t>
  </si>
  <si>
    <t>SERCOM5:0</t>
  </si>
  <si>
    <t>SERCOM5:1</t>
  </si>
  <si>
    <t>J1-1</t>
  </si>
  <si>
    <t>J1-2</t>
  </si>
  <si>
    <t>VBAT</t>
  </si>
  <si>
    <t>8/4/2</t>
  </si>
  <si>
    <t>TC / Waveform Outputs/TC</t>
  </si>
  <si>
    <t>Waveform Outputs/TCC</t>
  </si>
  <si>
    <t>TCC2:0</t>
  </si>
  <si>
    <t>TCC2:1</t>
  </si>
  <si>
    <t>TCC3:0</t>
  </si>
  <si>
    <t>TCC3:1</t>
  </si>
  <si>
    <t>TC4:0</t>
  </si>
  <si>
    <t>TCC3:6</t>
  </si>
  <si>
    <t>TC4:1</t>
  </si>
  <si>
    <t>TCC3:7</t>
  </si>
  <si>
    <t>TCC0:0</t>
  </si>
  <si>
    <t>TCC3:2</t>
  </si>
  <si>
    <t>TCC0:1</t>
  </si>
  <si>
    <t>TCC3:3</t>
  </si>
  <si>
    <t>TCC1:0</t>
  </si>
  <si>
    <t>TCC3:4</t>
  </si>
  <si>
    <t>TCC1:1</t>
  </si>
  <si>
    <t>TCC3:5</t>
  </si>
  <si>
    <t>TCC1:2</t>
  </si>
  <si>
    <t>TCC1:3</t>
  </si>
  <si>
    <t>TCC0:2</t>
  </si>
  <si>
    <t>TCC0:3</t>
  </si>
  <si>
    <t>TC5:0</t>
  </si>
  <si>
    <t>TCC0:4</t>
  </si>
  <si>
    <t>TC5:1</t>
  </si>
  <si>
    <t>TCC0:5</t>
  </si>
  <si>
    <t>TCC0:6</t>
  </si>
  <si>
    <t>TCC0:7</t>
  </si>
  <si>
    <t>TC3:0</t>
  </si>
  <si>
    <t>TC3:1</t>
  </si>
  <si>
    <t>TC7:0</t>
  </si>
  <si>
    <t>TC7:1</t>
  </si>
  <si>
    <t>TC6:0</t>
  </si>
  <si>
    <t>TC6:1</t>
  </si>
  <si>
    <t>A0/DAC</t>
  </si>
  <si>
    <t>D13 ~</t>
  </si>
  <si>
    <t>D12 ~</t>
  </si>
  <si>
    <t>D11 ~</t>
  </si>
  <si>
    <t>D10 ~</t>
  </si>
  <si>
    <t>D9 ~</t>
  </si>
  <si>
    <t>D8 ~</t>
  </si>
  <si>
    <t>D6 ~</t>
  </si>
  <si>
    <t>D4 ~</t>
  </si>
  <si>
    <t>D5 ~</t>
  </si>
  <si>
    <t>D3 ~</t>
  </si>
  <si>
    <t>Signal</t>
  </si>
  <si>
    <t>Function</t>
  </si>
  <si>
    <t>Serial Tx</t>
  </si>
  <si>
    <t>Serial Rx</t>
  </si>
  <si>
    <t>Flash Memory</t>
  </si>
  <si>
    <t>QWIIC</t>
  </si>
  <si>
    <t>SPI</t>
  </si>
  <si>
    <t>Power</t>
  </si>
  <si>
    <t>Power External</t>
  </si>
  <si>
    <t>Power Battery</t>
  </si>
  <si>
    <t>IO QWIIC</t>
  </si>
  <si>
    <t>IO Analog</t>
  </si>
  <si>
    <t>IO Digital</t>
  </si>
  <si>
    <t>Reset</t>
  </si>
  <si>
    <t>Other</t>
  </si>
  <si>
    <t>XIN32</t>
  </si>
  <si>
    <t>XOUT32</t>
  </si>
  <si>
    <t>PA10,SER0:2</t>
  </si>
  <si>
    <t>PA11,SER0:3</t>
  </si>
  <si>
    <t>SER4:2</t>
  </si>
  <si>
    <t>SER4:0</t>
  </si>
  <si>
    <t>SER4:3</t>
  </si>
  <si>
    <t>Pin Function</t>
  </si>
  <si>
    <t>USB_ID</t>
  </si>
  <si>
    <t>AIN[2], PA08</t>
  </si>
  <si>
    <t>AIN[3], PA09</t>
  </si>
  <si>
    <t>AIN[4], PA04</t>
  </si>
  <si>
    <t>AIN[5], PA05</t>
  </si>
  <si>
    <t>AIN[10], PB02</t>
  </si>
  <si>
    <t>Dir</t>
  </si>
  <si>
    <t>AIN, DIO</t>
  </si>
  <si>
    <t>DIO</t>
  </si>
  <si>
    <t>DOUT</t>
  </si>
  <si>
    <t>AIN[0], PA02, VOUT</t>
  </si>
  <si>
    <t>AIN, DIO, AOUT</t>
  </si>
  <si>
    <t>USB_DM</t>
  </si>
  <si>
    <t>USB_DP</t>
  </si>
  <si>
    <t>Filter</t>
  </si>
  <si>
    <t>Bypass</t>
  </si>
  <si>
    <t>????</t>
  </si>
  <si>
    <t>CHG_STAT</t>
  </si>
  <si>
    <t>Charge Sts</t>
  </si>
  <si>
    <t>D13</t>
  </si>
  <si>
    <t>Blue LED</t>
  </si>
  <si>
    <t>Green LED</t>
  </si>
  <si>
    <t>Yellow LED</t>
  </si>
  <si>
    <t>NC</t>
  </si>
  <si>
    <t>JP7</t>
  </si>
  <si>
    <t>A0</t>
  </si>
  <si>
    <t>IOREF</t>
  </si>
  <si>
    <t>RESET#</t>
  </si>
  <si>
    <t>VUSB</t>
  </si>
  <si>
    <t>MISO</t>
  </si>
  <si>
    <t>MOSI</t>
  </si>
  <si>
    <t>SCK</t>
  </si>
  <si>
    <t>D0</t>
  </si>
  <si>
    <t>D1</t>
  </si>
  <si>
    <t>D3</t>
  </si>
  <si>
    <t>D4</t>
  </si>
  <si>
    <t>D5</t>
  </si>
  <si>
    <t>D6</t>
  </si>
  <si>
    <t>D8</t>
  </si>
  <si>
    <t>D9</t>
  </si>
  <si>
    <t>D10</t>
  </si>
  <si>
    <t>D11</t>
  </si>
  <si>
    <t>D12</t>
  </si>
  <si>
    <t>D0/RXI</t>
  </si>
  <si>
    <t>D1/TXO</t>
  </si>
  <si>
    <t>D7-VDD</t>
  </si>
  <si>
    <t>D7-DI</t>
  </si>
  <si>
    <t>D7-VSS</t>
  </si>
  <si>
    <t>D7-DO</t>
  </si>
  <si>
    <t>Flash-1</t>
  </si>
  <si>
    <t>Flash-2</t>
  </si>
  <si>
    <t>Flash-3</t>
  </si>
  <si>
    <t>Flash-4</t>
  </si>
  <si>
    <t>Flash-5</t>
  </si>
  <si>
    <t>Flash-6</t>
  </si>
  <si>
    <t>Flash-7</t>
  </si>
  <si>
    <t>Flash-8</t>
  </si>
  <si>
    <t>SO</t>
  </si>
  <si>
    <t>SI</t>
  </si>
  <si>
    <t>CS~</t>
  </si>
  <si>
    <t>WP~</t>
  </si>
  <si>
    <t>HOLD~</t>
  </si>
  <si>
    <t>Shld1-01</t>
  </si>
  <si>
    <t>Shld1-02</t>
  </si>
  <si>
    <t>Shld1-03</t>
  </si>
  <si>
    <t>Shld1-04</t>
  </si>
  <si>
    <t>Shld1-05</t>
  </si>
  <si>
    <t>Shld1-06</t>
  </si>
  <si>
    <t>Shld1-07</t>
  </si>
  <si>
    <t>Shld1-08</t>
  </si>
  <si>
    <t>Shld1-09</t>
  </si>
  <si>
    <t>Shld1-10</t>
  </si>
  <si>
    <t>Shld2-1</t>
  </si>
  <si>
    <t>Shld2-2</t>
  </si>
  <si>
    <t>Shld2-3</t>
  </si>
  <si>
    <t>Shld2-4</t>
  </si>
  <si>
    <t>Shld2-5</t>
  </si>
  <si>
    <t>Shld2-6</t>
  </si>
  <si>
    <t>Shld2-7</t>
  </si>
  <si>
    <t>Shld2-8</t>
  </si>
  <si>
    <t>Shld3-1</t>
  </si>
  <si>
    <t>Shld3-2</t>
  </si>
  <si>
    <t>Shld3-3</t>
  </si>
  <si>
    <t>Shld3-4</t>
  </si>
  <si>
    <t>Shld3-5</t>
  </si>
  <si>
    <t>Shld3-6</t>
  </si>
  <si>
    <t>Shld4-1</t>
  </si>
  <si>
    <t>Shld4-2</t>
  </si>
  <si>
    <t>Shld4-3</t>
  </si>
  <si>
    <t>Shld4-4</t>
  </si>
  <si>
    <t>Shld4-5</t>
  </si>
  <si>
    <t>Shld4-6</t>
  </si>
  <si>
    <t>S1</t>
  </si>
  <si>
    <t>JP3-Tip</t>
  </si>
  <si>
    <t>JP3_Sleeve</t>
  </si>
  <si>
    <t>Ground</t>
  </si>
  <si>
    <t>High Level Input Voltage</t>
  </si>
  <si>
    <t>Low Level Input Voltage</t>
  </si>
  <si>
    <t>Low Level Input Current</t>
  </si>
  <si>
    <t>Min</t>
  </si>
  <si>
    <t>Max</t>
  </si>
  <si>
    <t>2V</t>
  </si>
  <si>
    <t>5.5V</t>
  </si>
  <si>
    <t>0.8 V</t>
  </si>
  <si>
    <t>High Level output Voltage</t>
  </si>
  <si>
    <t>Low Level output Voltage</t>
  </si>
  <si>
    <t>2.4V</t>
  </si>
  <si>
    <t>1K Pullup</t>
  </si>
  <si>
    <t>0.4V</t>
  </si>
  <si>
    <t>SN7417N</t>
  </si>
  <si>
    <t>Reader Data Outputs (IC3,4)</t>
  </si>
  <si>
    <t>Punch Data Inputs (IC5&amp;6)</t>
  </si>
  <si>
    <t>SN7409N</t>
  </si>
  <si>
    <t>IC10</t>
  </si>
  <si>
    <t>IC14</t>
  </si>
  <si>
    <t>IC3&amp;4</t>
  </si>
  <si>
    <t>IC5&amp;6</t>
  </si>
  <si>
    <t>IC7409N</t>
  </si>
  <si>
    <t>9600</t>
  </si>
  <si>
    <t>IC7</t>
  </si>
  <si>
    <t>SN7408N</t>
  </si>
  <si>
    <r>
      <t>V</t>
    </r>
    <r>
      <rPr>
        <vertAlign val="subscript"/>
        <sz val="11"/>
        <color theme="1"/>
        <rFont val="Calibri"/>
        <family val="2"/>
        <scheme val="minor"/>
      </rPr>
      <t>IL</t>
    </r>
  </si>
  <si>
    <r>
      <t>V</t>
    </r>
    <r>
      <rPr>
        <vertAlign val="subscript"/>
        <sz val="11"/>
        <color theme="1"/>
        <rFont val="Calibri"/>
        <family val="2"/>
        <scheme val="minor"/>
      </rPr>
      <t>IH</t>
    </r>
  </si>
  <si>
    <t>High-level input voltage</t>
  </si>
  <si>
    <r>
      <t>I</t>
    </r>
    <r>
      <rPr>
        <vertAlign val="subscript"/>
        <sz val="11"/>
        <color theme="1"/>
        <rFont val="Calibri"/>
        <family val="2"/>
        <scheme val="minor"/>
      </rPr>
      <t>OL</t>
    </r>
  </si>
  <si>
    <t>2 V</t>
  </si>
  <si>
    <t>40 mA</t>
  </si>
  <si>
    <r>
      <t>V</t>
    </r>
    <r>
      <rPr>
        <vertAlign val="subscript"/>
        <sz val="11"/>
        <color theme="1"/>
        <rFont val="Calibri"/>
        <family val="2"/>
        <scheme val="minor"/>
      </rPr>
      <t>OH</t>
    </r>
  </si>
  <si>
    <t>Hex bipolar buffers w/1K pullup</t>
  </si>
  <si>
    <t>Quad 2-In Open Collector AND</t>
  </si>
  <si>
    <t>Low-level input voltage</t>
  </si>
  <si>
    <t>High-level output voltage</t>
  </si>
  <si>
    <r>
      <t>I</t>
    </r>
    <r>
      <rPr>
        <vertAlign val="subscript"/>
        <sz val="11"/>
        <color theme="1"/>
        <rFont val="Calibri"/>
        <family val="2"/>
        <scheme val="minor"/>
      </rPr>
      <t>IH</t>
    </r>
  </si>
  <si>
    <r>
      <t>I</t>
    </r>
    <r>
      <rPr>
        <vertAlign val="subscript"/>
        <sz val="11"/>
        <color theme="1"/>
        <rFont val="Calibri"/>
        <family val="2"/>
        <scheme val="minor"/>
      </rPr>
      <t>IL</t>
    </r>
  </si>
  <si>
    <t>High-level input current</t>
  </si>
  <si>
    <t>Low-level input current</t>
  </si>
  <si>
    <t>40 uA</t>
  </si>
  <si>
    <t>-1.6 mA</t>
  </si>
  <si>
    <t xml:space="preserve"> </t>
  </si>
  <si>
    <t>15 V</t>
  </si>
  <si>
    <r>
      <t>V</t>
    </r>
    <r>
      <rPr>
        <vertAlign val="subscript"/>
        <sz val="11"/>
        <color theme="1"/>
        <rFont val="Calibri"/>
        <family val="2"/>
        <scheme val="minor"/>
      </rPr>
      <t>OL</t>
    </r>
  </si>
  <si>
    <t>0.7 V</t>
  </si>
  <si>
    <t>Low-level output voltage</t>
  </si>
  <si>
    <t>Quad 2-In AND</t>
  </si>
  <si>
    <t>PunchStart Input</t>
  </si>
  <si>
    <t>ReaderData Output</t>
  </si>
  <si>
    <t>PunchData Input</t>
  </si>
  <si>
    <t>Monostable Multivibrator</t>
  </si>
  <si>
    <t>1.5 V</t>
  </si>
  <si>
    <t>0.85 V</t>
  </si>
  <si>
    <t>Reader Start~ Input</t>
  </si>
  <si>
    <t>74HTC595</t>
  </si>
  <si>
    <t>74HTC165</t>
  </si>
  <si>
    <t>1k Pullup to 4.5V</t>
  </si>
  <si>
    <t>Low-level oputput voltage</t>
  </si>
  <si>
    <t>2.0 V
3.3 V
4.5V</t>
  </si>
  <si>
    <t>1.9 V
3.2 V
4.4 V</t>
  </si>
  <si>
    <t>0.1 V
0.1 V
0.1 V</t>
  </si>
  <si>
    <t>1.5 V
2.36 V
3.15 V</t>
  </si>
  <si>
    <t>0.5 V
0.94 V
1.35 V</t>
  </si>
  <si>
    <t>74HCT04</t>
  </si>
  <si>
    <t>Reader Ready Output</t>
  </si>
  <si>
    <t>PunchReady Output</t>
  </si>
  <si>
    <t>PunchReady~ Output</t>
  </si>
  <si>
    <t>75HCT04</t>
  </si>
  <si>
    <t>1k Pullup to 4.4V</t>
  </si>
  <si>
    <t>Col 0</t>
  </si>
  <si>
    <t>Col 1</t>
  </si>
  <si>
    <t>Col 2</t>
  </si>
  <si>
    <t>Col 3</t>
  </si>
  <si>
    <t>Col 4</t>
  </si>
  <si>
    <t>Col 5</t>
  </si>
  <si>
    <t>byte [][] CharMap = {</t>
  </si>
  <si>
    <t>0x00</t>
  </si>
  <si>
    <t>0</t>
  </si>
  <si>
    <t>!</t>
  </si>
  <si>
    <t>0x6f</t>
  </si>
  <si>
    <t>1101111</t>
  </si>
  <si>
    <t>"</t>
  </si>
  <si>
    <t>0x07</t>
  </si>
  <si>
    <t>111</t>
  </si>
  <si>
    <t>#</t>
  </si>
  <si>
    <t>0x14</t>
  </si>
  <si>
    <t>0x7f</t>
  </si>
  <si>
    <t>10100</t>
  </si>
  <si>
    <t>1111111</t>
  </si>
  <si>
    <t>$</t>
  </si>
  <si>
    <t>0x04</t>
  </si>
  <si>
    <t>0x1e</t>
  </si>
  <si>
    <t>100</t>
  </si>
  <si>
    <t>11110</t>
  </si>
  <si>
    <t>%</t>
  </si>
  <si>
    <t>0x23</t>
  </si>
  <si>
    <t>0x13</t>
  </si>
  <si>
    <t>0x08</t>
  </si>
  <si>
    <t>0x64</t>
  </si>
  <si>
    <t>0x62</t>
  </si>
  <si>
    <t>100011</t>
  </si>
  <si>
    <t>10011</t>
  </si>
  <si>
    <t>1000</t>
  </si>
  <si>
    <t>1100100</t>
  </si>
  <si>
    <t>1100010</t>
  </si>
  <si>
    <t>&amp;</t>
  </si>
  <si>
    <t>0x36</t>
  </si>
  <si>
    <t>0x49</t>
  </si>
  <si>
    <t>0x56</t>
  </si>
  <si>
    <t>0x20</t>
  </si>
  <si>
    <t>0x50</t>
  </si>
  <si>
    <t>110110</t>
  </si>
  <si>
    <t>1001001</t>
  </si>
  <si>
    <t>1010110</t>
  </si>
  <si>
    <t>100000</t>
  </si>
  <si>
    <t>1010000</t>
  </si>
  <si>
    <t>'</t>
  </si>
  <si>
    <t>(</t>
  </si>
  <si>
    <t>0x1c</t>
  </si>
  <si>
    <t>0x22</t>
  </si>
  <si>
    <t>0x41</t>
  </si>
  <si>
    <t>11100</t>
  </si>
  <si>
    <t>100010</t>
  </si>
  <si>
    <t>1000001</t>
  </si>
  <si>
    <t>)</t>
  </si>
  <si>
    <t>*</t>
  </si>
  <si>
    <t>0x3e</t>
  </si>
  <si>
    <t>111110</t>
  </si>
  <si>
    <t>+</t>
  </si>
  <si>
    <t>,</t>
  </si>
  <si>
    <t>0x30</t>
  </si>
  <si>
    <t>110000</t>
  </si>
  <si>
    <t>-</t>
  </si>
  <si>
    <t>.</t>
  </si>
  <si>
    <t>0x60</t>
  </si>
  <si>
    <t>1100000</t>
  </si>
  <si>
    <t>/</t>
  </si>
  <si>
    <t>0x10</t>
  </si>
  <si>
    <t>0x02</t>
  </si>
  <si>
    <t>10000</t>
  </si>
  <si>
    <t>10</t>
  </si>
  <si>
    <t>0x51</t>
  </si>
  <si>
    <t>0x45</t>
  </si>
  <si>
    <t>1010001</t>
  </si>
  <si>
    <t>1000101</t>
  </si>
  <si>
    <t>1</t>
  </si>
  <si>
    <t>0x42</t>
  </si>
  <si>
    <t>0x40</t>
  </si>
  <si>
    <t>1000010</t>
  </si>
  <si>
    <t>1000000</t>
  </si>
  <si>
    <t>2</t>
  </si>
  <si>
    <t>0x61</t>
  </si>
  <si>
    <t>0x46</t>
  </si>
  <si>
    <t>1100001</t>
  </si>
  <si>
    <t>1000110</t>
  </si>
  <si>
    <t>3</t>
  </si>
  <si>
    <t>0x21</t>
  </si>
  <si>
    <t>0x4b</t>
  </si>
  <si>
    <t>0x31</t>
  </si>
  <si>
    <t>100001</t>
  </si>
  <si>
    <t>1001011</t>
  </si>
  <si>
    <t>110001</t>
  </si>
  <si>
    <t>4</t>
  </si>
  <si>
    <t>0x18</t>
  </si>
  <si>
    <t>0x12</t>
  </si>
  <si>
    <t>11000</t>
  </si>
  <si>
    <t>10010</t>
  </si>
  <si>
    <t>5</t>
  </si>
  <si>
    <t>0x27</t>
  </si>
  <si>
    <t>0x39</t>
  </si>
  <si>
    <t>100111</t>
  </si>
  <si>
    <t>111001</t>
  </si>
  <si>
    <t>6</t>
  </si>
  <si>
    <t>0x3c</t>
  </si>
  <si>
    <t>0x4a</t>
  </si>
  <si>
    <t>111100</t>
  </si>
  <si>
    <t>1001010</t>
  </si>
  <si>
    <t>7</t>
  </si>
  <si>
    <t>0x01</t>
  </si>
  <si>
    <t>0x71</t>
  </si>
  <si>
    <t>0x09</t>
  </si>
  <si>
    <t>0x05</t>
  </si>
  <si>
    <t>0x03</t>
  </si>
  <si>
    <t>1110001</t>
  </si>
  <si>
    <t>1001</t>
  </si>
  <si>
    <t>101</t>
  </si>
  <si>
    <t>11</t>
  </si>
  <si>
    <t>8</t>
  </si>
  <si>
    <t>9</t>
  </si>
  <si>
    <t>0x06</t>
  </si>
  <si>
    <t>0x29</t>
  </si>
  <si>
    <t>110</t>
  </si>
  <si>
    <t>101001</t>
  </si>
  <si>
    <t>:</t>
  </si>
  <si>
    <t>;</t>
  </si>
  <si>
    <t>&lt;</t>
  </si>
  <si>
    <t>=</t>
  </si>
  <si>
    <t>&gt;</t>
  </si>
  <si>
    <t>?</t>
  </si>
  <si>
    <t>@</t>
  </si>
  <si>
    <t>0x5d</t>
  </si>
  <si>
    <t>0x4e</t>
  </si>
  <si>
    <t>1011101</t>
  </si>
  <si>
    <t>1001110</t>
  </si>
  <si>
    <t>A</t>
  </si>
  <si>
    <t>0x7e</t>
  </si>
  <si>
    <t>1111110</t>
  </si>
  <si>
    <t>B</t>
  </si>
  <si>
    <t>C</t>
  </si>
  <si>
    <t>D</t>
  </si>
  <si>
    <t>E</t>
  </si>
  <si>
    <t>F</t>
  </si>
  <si>
    <t>G</t>
  </si>
  <si>
    <t>0x7a</t>
  </si>
  <si>
    <t>1111010</t>
  </si>
  <si>
    <t>H</t>
  </si>
  <si>
    <t>I</t>
  </si>
  <si>
    <t>J</t>
  </si>
  <si>
    <t>0x3f</t>
  </si>
  <si>
    <t>111111</t>
  </si>
  <si>
    <t>K</t>
  </si>
  <si>
    <t>L</t>
  </si>
  <si>
    <t>M</t>
  </si>
  <si>
    <t>0x0c</t>
  </si>
  <si>
    <t>1100</t>
  </si>
  <si>
    <t>N</t>
  </si>
  <si>
    <t>O</t>
  </si>
  <si>
    <t>P</t>
  </si>
  <si>
    <t>Q</t>
  </si>
  <si>
    <t>0x5e</t>
  </si>
  <si>
    <t>1011110</t>
  </si>
  <si>
    <t>R</t>
  </si>
  <si>
    <t>0x19</t>
  </si>
  <si>
    <t>11001</t>
  </si>
  <si>
    <t>S</t>
  </si>
  <si>
    <t>T</t>
  </si>
  <si>
    <t>U</t>
  </si>
  <si>
    <t>V</t>
  </si>
  <si>
    <t>0x0f</t>
  </si>
  <si>
    <t>1111</t>
  </si>
  <si>
    <t>W</t>
  </si>
  <si>
    <t>X</t>
  </si>
  <si>
    <t>0x63</t>
  </si>
  <si>
    <t>1100011</t>
  </si>
  <si>
    <t>0x70</t>
  </si>
  <si>
    <t>1110000</t>
  </si>
  <si>
    <t>Z</t>
  </si>
  <si>
    <t>0x43</t>
  </si>
  <si>
    <t>1000011</t>
  </si>
  <si>
    <t>[</t>
  </si>
  <si>
    <t>\</t>
  </si>
  <si>
    <t>]</t>
  </si>
  <si>
    <t>^</t>
  </si>
  <si>
    <t>_</t>
  </si>
  <si>
    <t>`</t>
  </si>
  <si>
    <t>a</t>
  </si>
  <si>
    <t>0x54</t>
  </si>
  <si>
    <t>0x78</t>
  </si>
  <si>
    <t>1010100</t>
  </si>
  <si>
    <t>1111000</t>
  </si>
  <si>
    <t>b</t>
  </si>
  <si>
    <t>0x48</t>
  </si>
  <si>
    <t>0x44</t>
  </si>
  <si>
    <t>0x38</t>
  </si>
  <si>
    <t>1001000</t>
  </si>
  <si>
    <t>1000100</t>
  </si>
  <si>
    <t>111000</t>
  </si>
  <si>
    <t>c</t>
  </si>
  <si>
    <t>d</t>
  </si>
  <si>
    <t>e</t>
  </si>
  <si>
    <t>f</t>
  </si>
  <si>
    <t>g</t>
  </si>
  <si>
    <t>0x52</t>
  </si>
  <si>
    <t>1010010</t>
  </si>
  <si>
    <t>h</t>
  </si>
  <si>
    <t>i</t>
  </si>
  <si>
    <t>0x7d</t>
  </si>
  <si>
    <t>1111101</t>
  </si>
  <si>
    <t>j</t>
  </si>
  <si>
    <t>0x3d</t>
  </si>
  <si>
    <t>111101</t>
  </si>
  <si>
    <t>k</t>
  </si>
  <si>
    <t>0x28</t>
  </si>
  <si>
    <t>101000</t>
  </si>
  <si>
    <t>l</t>
  </si>
  <si>
    <t>m</t>
  </si>
  <si>
    <t>0x7c</t>
  </si>
  <si>
    <t>1111100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</si>
  <si>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</si>
  <si>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</si>
  <si>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</si>
  <si>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</si>
  <si>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</si>
  <si>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</si>
  <si>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</si>
  <si>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</si>
  <si>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</si>
  <si>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</si>
  <si>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</si>
  <si>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</si>
  <si>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</si>
  <si>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0x4c</t>
  </si>
  <si>
    <t>1001100</t>
  </si>
  <si>
    <t>{</t>
  </si>
  <si>
    <t>|</t>
  </si>
  <si>
    <t>}</t>
  </si>
  <si>
    <t>~</t>
  </si>
  <si>
    <t>0x6b</t>
  </si>
  <si>
    <t>1101011</t>
  </si>
  <si>
    <t>};</t>
  </si>
  <si>
    <t>Si</t>
  </si>
  <si>
    <t>H10 COM port will be a female DCE</t>
  </si>
  <si>
    <t>Computer COM port is male DTE</t>
  </si>
  <si>
    <t>DCD</t>
  </si>
  <si>
    <t>RXD</t>
  </si>
  <si>
    <t>TXD</t>
  </si>
  <si>
    <t>DTR</t>
  </si>
  <si>
    <t>DSR</t>
  </si>
  <si>
    <t>RTS</t>
  </si>
  <si>
    <t>CTS</t>
  </si>
  <si>
    <t>RI</t>
  </si>
  <si>
    <t>&lt;&lt;</t>
  </si>
  <si>
    <t>&gt;&gt;</t>
  </si>
  <si>
    <t>&lt;&gt;</t>
  </si>
  <si>
    <t>DTE</t>
  </si>
  <si>
    <t>DCE</t>
  </si>
  <si>
    <t>DCD notifies DTE that the carrier has been detected</t>
  </si>
  <si>
    <t>DCE send data to DTE</t>
  </si>
  <si>
    <t>DTE send data to DCE</t>
  </si>
  <si>
    <t>DTR indicates that is is ready</t>
  </si>
  <si>
    <t>Gound</t>
  </si>
  <si>
    <t>DCE notifies DTE that it is ready</t>
  </si>
  <si>
    <t>DTE is requesting to send data</t>
  </si>
  <si>
    <t>DCE indicates that is DTE can send data</t>
  </si>
  <si>
    <t>DCE notifies DTE that the phone is ringing</t>
  </si>
  <si>
    <t>DTE to DTE Null Modem Cable</t>
  </si>
  <si>
    <t>RX</t>
  </si>
  <si>
    <t>TX</t>
  </si>
  <si>
    <t>1,6</t>
  </si>
  <si>
    <t>DSR,DCD</t>
  </si>
  <si>
    <t>6,1</t>
  </si>
  <si>
    <t>1 2 3 4 5
 6 7 8 9</t>
  </si>
  <si>
    <t>5 4 3 2 1
 9 8 7 6</t>
  </si>
  <si>
    <t>Front Pinout</t>
  </si>
  <si>
    <t xml:space="preserve">Tx </t>
  </si>
  <si>
    <t>Arduino</t>
  </si>
  <si>
    <t>Max232</t>
  </si>
  <si>
    <t>T1IN</t>
  </si>
  <si>
    <t>DB9 DTE</t>
  </si>
  <si>
    <t>Tx</t>
  </si>
  <si>
    <t>Rx</t>
  </si>
  <si>
    <t>T2IN</t>
  </si>
  <si>
    <t>T2OUT</t>
  </si>
  <si>
    <t>R2Out</t>
  </si>
  <si>
    <t>R2IN</t>
  </si>
  <si>
    <t>T1OUT</t>
  </si>
  <si>
    <t>R1IN</t>
  </si>
  <si>
    <t>R1OUT</t>
  </si>
  <si>
    <t>RS232 Pin</t>
  </si>
  <si>
    <t>H10 Transmit Data Out</t>
  </si>
  <si>
    <t>H10 Receive Data In</t>
  </si>
  <si>
    <t>H10 Request To Send Out</t>
  </si>
  <si>
    <t>H10 Clear To Send In</t>
  </si>
  <si>
    <t>PC Receive Data</t>
  </si>
  <si>
    <t>PC Send Data</t>
  </si>
  <si>
    <t>PC Ok to Send Data</t>
  </si>
  <si>
    <t>PC Ready to Recv Data</t>
  </si>
  <si>
    <t>2 RX</t>
  </si>
  <si>
    <t>3 TX</t>
  </si>
  <si>
    <t>8 CTS</t>
  </si>
  <si>
    <t>7 RTS</t>
  </si>
  <si>
    <t>LED1</t>
  </si>
  <si>
    <t>LED2</t>
  </si>
  <si>
    <t>PunchDataLatch</t>
  </si>
  <si>
    <t>ReaderReady</t>
  </si>
  <si>
    <t>PunchReady</t>
  </si>
  <si>
    <t>PunchStart</t>
  </si>
  <si>
    <t>GP0</t>
  </si>
  <si>
    <t>GP1</t>
  </si>
  <si>
    <t>VSYS</t>
  </si>
  <si>
    <t>GP2</t>
  </si>
  <si>
    <t>GP3</t>
  </si>
  <si>
    <t>GP4</t>
  </si>
  <si>
    <t>GP5</t>
  </si>
  <si>
    <t>GP28</t>
  </si>
  <si>
    <t>GP6</t>
  </si>
  <si>
    <t>GP27</t>
  </si>
  <si>
    <t>GP7</t>
  </si>
  <si>
    <t>GP26</t>
  </si>
  <si>
    <t>GP8</t>
  </si>
  <si>
    <t>RUN</t>
  </si>
  <si>
    <t>GP9</t>
  </si>
  <si>
    <t>GP22</t>
  </si>
  <si>
    <t>GP10</t>
  </si>
  <si>
    <t>GP21</t>
  </si>
  <si>
    <t>GP11</t>
  </si>
  <si>
    <t>GP20</t>
  </si>
  <si>
    <t>GP12</t>
  </si>
  <si>
    <t>GP19</t>
  </si>
  <si>
    <t>GP13</t>
  </si>
  <si>
    <t>GP18</t>
  </si>
  <si>
    <t>GP14</t>
  </si>
  <si>
    <t>GP17</t>
  </si>
  <si>
    <t>GP15</t>
  </si>
  <si>
    <t>GP16</t>
  </si>
  <si>
    <t>H10 Reader/Punch</t>
  </si>
  <si>
    <t>&lt;-&gt;</t>
  </si>
  <si>
    <t>Serial data from Reader data 165</t>
  </si>
  <si>
    <t>pMISO</t>
  </si>
  <si>
    <t>Input</t>
  </si>
  <si>
    <t>n.c</t>
  </si>
  <si>
    <t>Output</t>
  </si>
  <si>
    <t>sMOSI</t>
  </si>
  <si>
    <t>Serial data to simulated reader 595</t>
  </si>
  <si>
    <t>Clock to 165 &amp; 595</t>
  </si>
  <si>
    <t>pSCK</t>
  </si>
  <si>
    <t>sSCK</t>
  </si>
  <si>
    <t>Clock to 595 &amp; 165</t>
  </si>
  <si>
    <t>Latch signal to Punch data 595</t>
  </si>
  <si>
    <t>pPunchDataLatch</t>
  </si>
  <si>
    <t>sPunchDataLoad</t>
  </si>
  <si>
    <t>Load signal to simulated punch data 165</t>
  </si>
  <si>
    <t>Serial data to Punch data 595</t>
  </si>
  <si>
    <t>pMOSI</t>
  </si>
  <si>
    <t>sMISO</t>
  </si>
  <si>
    <t>Serial data from simulated punch data 165</t>
  </si>
  <si>
    <t>Load signal to Reader data 165</t>
  </si>
  <si>
    <t>pReadDataLoad</t>
  </si>
  <si>
    <t>sReadDataLatch</t>
  </si>
  <si>
    <t>Latch signal to simulated punch 595</t>
  </si>
  <si>
    <t>Start Read cycle</t>
  </si>
  <si>
    <t>pReaderStart</t>
  </si>
  <si>
    <t>-&gt;</t>
  </si>
  <si>
    <t>sReaderStart</t>
  </si>
  <si>
    <t>Input to monitor  ReadStart</t>
  </si>
  <si>
    <t>Reader is ready to cycle</t>
  </si>
  <si>
    <t>pReaderReady</t>
  </si>
  <si>
    <t>&lt;-</t>
  </si>
  <si>
    <t>sReaderReady</t>
  </si>
  <si>
    <t>Output to simulate ReadReady</t>
  </si>
  <si>
    <t>Punch is ready to cycle</t>
  </si>
  <si>
    <t>pPunchReady</t>
  </si>
  <si>
    <t>sPunchReady</t>
  </si>
  <si>
    <t>Output to simulate PunchReady</t>
  </si>
  <si>
    <t>Start a Punch cycle</t>
  </si>
  <si>
    <t>pPunchStart</t>
  </si>
  <si>
    <t>sPunchStart</t>
  </si>
  <si>
    <t>Input to monitor PunchStart</t>
  </si>
  <si>
    <t>pPD0</t>
  </si>
  <si>
    <t>sPD0</t>
  </si>
  <si>
    <t>pPD1</t>
  </si>
  <si>
    <t>sPD1</t>
  </si>
  <si>
    <t>pPD2</t>
  </si>
  <si>
    <t>sPD2</t>
  </si>
  <si>
    <t>pPD3</t>
  </si>
  <si>
    <t>sPD3</t>
  </si>
  <si>
    <t>pPD4</t>
  </si>
  <si>
    <t>sPD4</t>
  </si>
  <si>
    <t>pPD5</t>
  </si>
  <si>
    <t>sPD5</t>
  </si>
  <si>
    <t>pPD6</t>
  </si>
  <si>
    <t>sPD6</t>
  </si>
  <si>
    <t>pPD7</t>
  </si>
  <si>
    <t>sPD7</t>
  </si>
  <si>
    <t>pRD0</t>
  </si>
  <si>
    <t>sRD0</t>
  </si>
  <si>
    <t>pRD1</t>
  </si>
  <si>
    <t>sRD1</t>
  </si>
  <si>
    <t>pRD2</t>
  </si>
  <si>
    <t>sRD2</t>
  </si>
  <si>
    <t>pRD3</t>
  </si>
  <si>
    <t>sRD3</t>
  </si>
  <si>
    <t>pRD4</t>
  </si>
  <si>
    <t>sRD4</t>
  </si>
  <si>
    <t>pRD5</t>
  </si>
  <si>
    <t>sRD5</t>
  </si>
  <si>
    <t>pRD6</t>
  </si>
  <si>
    <t>sRD6</t>
  </si>
  <si>
    <t>pRD7</t>
  </si>
  <si>
    <t>sRD7</t>
  </si>
  <si>
    <t>H10 Simulator</t>
  </si>
  <si>
    <t>ADC_VREF</t>
  </si>
  <si>
    <t>3V3_EN</t>
  </si>
  <si>
    <t>3V3 OUT</t>
  </si>
  <si>
    <t>H10 Controller</t>
  </si>
  <si>
    <t>RTS1</t>
  </si>
  <si>
    <t>CTS1</t>
  </si>
  <si>
    <t>Rx1</t>
  </si>
  <si>
    <t>Tx1</t>
  </si>
  <si>
    <t>ReadyStart</t>
  </si>
  <si>
    <t>REadDataLoad</t>
  </si>
  <si>
    <t>PB1</t>
  </si>
  <si>
    <t>Tx0</t>
  </si>
  <si>
    <t>Rx0</t>
  </si>
  <si>
    <t>CTS0</t>
  </si>
  <si>
    <t>5V from buck regulator</t>
  </si>
  <si>
    <t>5V from USB</t>
  </si>
  <si>
    <t>3V3 power</t>
  </si>
  <si>
    <t>RTS0</t>
  </si>
  <si>
    <t>MAX3232 RS232 Interface</t>
  </si>
  <si>
    <t>FTDI USB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</si>
</sst>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b/>
      <sz val="11"/>
      <color rgb="FF1D1D1B"/>
      <name val="Open Sans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0" fontId="5" fillId="0" borderId="0" xfId="0" applyFont="1"/>
    <xf numFmtId="0" fontId="0" fillId="2" borderId="0" xfId="0" applyFill="1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/>
    <xf numFmtId="0" fontId="7" fillId="2" borderId="0" xfId="0" applyFont="1" applyFill="1"/>
    <xf numFmtId="0" fontId="7" fillId="0" borderId="0" xfId="0" applyFont="1" applyAlignment="1">
      <alignment horizontal="center" vertical="top"/>
    </xf>
    <xf numFmtId="0" fontId="0" fillId="3" borderId="0" xfId="0" applyFill="1"/>
    <xf numFmtId="0" fontId="8" fillId="3" borderId="0" xfId="0" applyFont="1" applyFill="1"/>
    <xf numFmtId="0" fontId="0" fillId="0" borderId="0" xfId="0" applyAlignment="1">
      <alignment horizontal="left" vertical="top"/>
    </xf>
    <xf numFmtId="0" fontId="0" fillId="4" borderId="0" xfId="0" applyFill="1" applyAlignment="1">
      <alignment vertical="top"/>
    </xf>
    <xf numFmtId="0" fontId="0" fillId="0" borderId="0" xfId="0" applyAlignment="1">
      <alignment horizontal="right" vertical="top"/>
    </xf>
    <xf numFmtId="0" fontId="0" fillId="0" borderId="0" xfId="0" quotePrefix="1" applyAlignment="1">
      <alignment horizontal="left" vertical="top"/>
    </xf>
    <xf numFmtId="0" fontId="0" fillId="4" borderId="0" xfId="0" quotePrefix="1" applyFill="1" applyAlignment="1">
      <alignment vertical="top"/>
    </xf>
    <xf numFmtId="16" fontId="0" fillId="0" borderId="0" xfId="0" applyNumberFormat="1" applyAlignment="1">
      <alignment horizontal="left" vertical="top" wrapText="1" indent="1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left" vertical="top" wrapText="1" indent="1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7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B800-3CEF-4F7D-8050-7183E65B03A4}">
  <dimension ref="A1:V136"/>
  <sheetViews>
    <sheetView zoomScaleNormal="100" workbookViewId="0">
      <pane xSplit="4" ySplit="1" topLeftCell="E50" activePane="bottomRight" state="frozen"/>
      <selection pane="topRight" activeCell="D1" sqref="D1"/>
      <selection pane="bottomLeft" activeCell="A2" sqref="A2"/>
      <selection pane="bottomRight" activeCell="B46" sqref="B46:B51"/>
    </sheetView>
  </sheetViews>
  <sheetFormatPr defaultRowHeight="14.4" x14ac:dyDescent="0.3"/>
  <cols>
    <col min="1" max="1" width="3.33203125" style="1" customWidth="1"/>
    <col min="2" max="2" width="10.109375" customWidth="1"/>
    <col min="3" max="3" width="14.77734375" customWidth="1"/>
    <col min="4" max="4" width="14.88671875" customWidth="1"/>
    <col min="5" max="5" width="4" style="15" customWidth="1"/>
    <col min="6" max="6" width="21.21875" style="5" customWidth="1"/>
    <col min="7" max="7" width="15.44140625" style="5" customWidth="1"/>
    <col min="8" max="8" width="10" style="5" customWidth="1"/>
    <col min="9" max="12" width="8.77734375" style="22" customWidth="1"/>
    <col min="13" max="15" width="8.77734375" style="20" customWidth="1"/>
    <col min="16" max="17" width="9.88671875" style="20" customWidth="1"/>
    <col min="18" max="22" width="8.77734375" style="20" customWidth="1"/>
  </cols>
  <sheetData>
    <row r="1" spans="1:22" s="4" customFormat="1" x14ac:dyDescent="0.3">
      <c r="A1" s="3" t="s">
        <v>87</v>
      </c>
      <c r="B1" s="4" t="s">
        <v>94</v>
      </c>
      <c r="C1" s="4" t="s">
        <v>302</v>
      </c>
      <c r="D1" s="4" t="s">
        <v>301</v>
      </c>
      <c r="E1" s="14" t="s">
        <v>93</v>
      </c>
      <c r="F1" s="8" t="s">
        <v>323</v>
      </c>
      <c r="G1" s="8" t="s">
        <v>330</v>
      </c>
      <c r="H1" s="8" t="s">
        <v>200</v>
      </c>
      <c r="I1" s="16" t="s">
        <v>121</v>
      </c>
      <c r="J1" s="16" t="s">
        <v>201</v>
      </c>
      <c r="K1" s="16" t="s">
        <v>15</v>
      </c>
      <c r="L1" s="16" t="s">
        <v>202</v>
      </c>
      <c r="M1" s="17" t="s">
        <v>207</v>
      </c>
      <c r="N1" s="17" t="s">
        <v>114</v>
      </c>
      <c r="O1" s="17" t="s">
        <v>45</v>
      </c>
      <c r="P1" s="17" t="s">
        <v>227</v>
      </c>
      <c r="Q1" s="17" t="s">
        <v>203</v>
      </c>
      <c r="R1" s="17" t="s">
        <v>204</v>
      </c>
      <c r="S1" s="17" t="s">
        <v>105</v>
      </c>
      <c r="T1" s="17" t="s">
        <v>205</v>
      </c>
      <c r="U1" s="17" t="s">
        <v>208</v>
      </c>
      <c r="V1" s="17" t="s">
        <v>315</v>
      </c>
    </row>
    <row r="2" spans="1:22" x14ac:dyDescent="0.3">
      <c r="C2" t="s">
        <v>314</v>
      </c>
      <c r="D2" t="s">
        <v>10</v>
      </c>
    </row>
    <row r="3" spans="1:22" x14ac:dyDescent="0.3">
      <c r="B3" t="s">
        <v>252</v>
      </c>
      <c r="C3" t="s">
        <v>310</v>
      </c>
      <c r="D3" s="23" t="s">
        <v>254</v>
      </c>
    </row>
    <row r="4" spans="1:22" x14ac:dyDescent="0.3">
      <c r="B4" t="s">
        <v>253</v>
      </c>
      <c r="C4" t="s">
        <v>308</v>
      </c>
      <c r="D4" s="23" t="s">
        <v>14</v>
      </c>
    </row>
    <row r="5" spans="1:22" x14ac:dyDescent="0.3">
      <c r="B5" s="23" t="s">
        <v>17</v>
      </c>
      <c r="C5" t="s">
        <v>308</v>
      </c>
      <c r="D5" s="23" t="s">
        <v>14</v>
      </c>
    </row>
    <row r="6" spans="1:22" x14ac:dyDescent="0.3">
      <c r="B6" s="23" t="s">
        <v>18</v>
      </c>
      <c r="C6" t="s">
        <v>308</v>
      </c>
      <c r="D6" s="23" t="s">
        <v>21</v>
      </c>
    </row>
    <row r="7" spans="1:22" x14ac:dyDescent="0.3">
      <c r="A7" s="1">
        <v>38</v>
      </c>
      <c r="B7" s="23" t="s">
        <v>19</v>
      </c>
      <c r="C7" t="s">
        <v>306</v>
      </c>
      <c r="D7" s="23" t="s">
        <v>2</v>
      </c>
      <c r="E7" s="15">
        <v>31</v>
      </c>
      <c r="F7" s="5" t="s">
        <v>243</v>
      </c>
      <c r="H7" s="5" t="str">
        <f>VLOOKUP($E7,SAMD21G,2,FALSE)</f>
        <v>PA22</v>
      </c>
      <c r="I7" s="18" t="str">
        <f>IF(VLOOKUP($E7,SAMD21G,3,FALSE)=0,"",VLOOKUP($E7,SAMD21G,3,FALSE))</f>
        <v>VDDIO</v>
      </c>
      <c r="J7" s="18" t="str">
        <f>IF(VLOOKUP($E7,SAMD21G,4,FALSE)=0,"",VLOOKUP($E7,SAMD21G,4,FALSE))</f>
        <v>EXTINT[6]</v>
      </c>
      <c r="K7" s="18" t="str">
        <f>IF(VLOOKUP($E7,SAMD21G,5,FALSE)=0,"",VLOOKUP($E7,SAMD21G,5,FALSE))</f>
        <v/>
      </c>
      <c r="L7" s="18" t="str">
        <f>IF(VLOOKUP($E7,SAMD21G,6,FALSE)=0,"",VLOOKUP($E7,SAMD21G,6,FALSE))</f>
        <v/>
      </c>
      <c r="M7" s="18" t="str">
        <f>IF(VLOOKUP($E7,SAMD21G,7,FALSE)=0,"",VLOOKUP($E7,SAMD21G,7,FALSE))</f>
        <v/>
      </c>
      <c r="N7" s="18" t="str">
        <f>IF(VLOOKUP($E7,SAMD21G,8,FALSE)=0,"",VLOOKUP($E7,SAMD21G,8,FALSE))</f>
        <v>X[10]</v>
      </c>
      <c r="O7" s="18" t="str">
        <f>IF(VLOOKUP($E7,SAMD21G,9,FALSE)=0,"",VLOOKUP($E7,SAMD21G,9,FALSE))</f>
        <v/>
      </c>
      <c r="P7" s="19" t="str">
        <f>IF(VLOOKUP($E7,SAMD21G,10,FALSE)=0,"",VLOOKUP($E7,SAMD21G,10,FALSE))</f>
        <v>SERCOM3:0</v>
      </c>
      <c r="Q7" s="18" t="str">
        <f>IF(VLOOKUP($E7,SAMD21G,11,FALSE)=0,"",VLOOKUP($E7,SAMD21G,11,FALSE))</f>
        <v>SERCOM5:0</v>
      </c>
      <c r="R7" s="18" t="str">
        <f>IF(VLOOKUP($E7,SAMD21G,12,FALSE)=0,"",VLOOKUP($E7,SAMD21G,12,FALSE))</f>
        <v>TC4:0</v>
      </c>
      <c r="S7" s="18" t="str">
        <f>IF(VLOOKUP($E7,SAMD21G,13,FALSE)=0,"",VLOOKUP($E7,SAMD21G,13,FALSE))</f>
        <v>TCC0:4</v>
      </c>
      <c r="T7" s="18" t="str">
        <f>IF(VLOOKUP($E7,SAMD21G,14,FALSE)=0,"",VLOOKUP($E7,SAMD21G,14,FALSE))</f>
        <v/>
      </c>
      <c r="U7" s="18" t="str">
        <f>IF(VLOOKUP($E7,SAMD21G,15,FALSE)=0,"",VLOOKUP($E7,SAMD21G,15,FALSE))</f>
        <v>GCLK_IO[6]</v>
      </c>
    </row>
    <row r="8" spans="1:22" x14ac:dyDescent="0.3">
      <c r="A8" s="1">
        <v>38</v>
      </c>
      <c r="B8" s="23" t="s">
        <v>20</v>
      </c>
      <c r="C8" t="s">
        <v>306</v>
      </c>
      <c r="D8" s="23" t="s">
        <v>3</v>
      </c>
      <c r="E8" s="15">
        <v>32</v>
      </c>
      <c r="F8" s="5" t="s">
        <v>242</v>
      </c>
      <c r="H8" s="5" t="str">
        <f>VLOOKUP($E8,SAMD21G,2,FALSE)</f>
        <v>PA23</v>
      </c>
      <c r="I8" s="18" t="str">
        <f>IF(VLOOKUP($E8,SAMD21G,3,FALSE)=0,"",VLOOKUP($E8,SAMD21G,3,FALSE))</f>
        <v>VDDIO</v>
      </c>
      <c r="J8" s="18" t="str">
        <f>IF(VLOOKUP($E8,SAMD21G,4,FALSE)=0,"",VLOOKUP($E8,SAMD21G,4,FALSE))</f>
        <v>EXTINT[7]</v>
      </c>
      <c r="K8" s="18" t="str">
        <f>IF(VLOOKUP($E8,SAMD21G,5,FALSE)=0,"",VLOOKUP($E8,SAMD21G,5,FALSE))</f>
        <v/>
      </c>
      <c r="L8" s="18" t="str">
        <f>IF(VLOOKUP($E8,SAMD21G,6,FALSE)=0,"",VLOOKUP($E8,SAMD21G,6,FALSE))</f>
        <v/>
      </c>
      <c r="M8" s="18" t="str">
        <f>IF(VLOOKUP($E8,SAMD21G,7,FALSE)=0,"",VLOOKUP($E8,SAMD21G,7,FALSE))</f>
        <v/>
      </c>
      <c r="N8" s="18" t="str">
        <f>IF(VLOOKUP($E8,SAMD21G,8,FALSE)=0,"",VLOOKUP($E8,SAMD21G,8,FALSE))</f>
        <v>X[11]</v>
      </c>
      <c r="O8" s="18" t="str">
        <f>IF(VLOOKUP($E8,SAMD21G,9,FALSE)=0,"",VLOOKUP($E8,SAMD21G,9,FALSE))</f>
        <v/>
      </c>
      <c r="P8" s="19" t="str">
        <f>IF(VLOOKUP($E8,SAMD21G,10,FALSE)=0,"",VLOOKUP($E8,SAMD21G,10,FALSE))</f>
        <v>SERCOM3:1</v>
      </c>
      <c r="Q8" s="18" t="str">
        <f>IF(VLOOKUP($E8,SAMD21G,11,FALSE)=0,"",VLOOKUP($E8,SAMD21G,11,FALSE))</f>
        <v>SERCOM5:1</v>
      </c>
      <c r="R8" s="18" t="str">
        <f>IF(VLOOKUP($E8,SAMD21G,12,FALSE)=0,"",VLOOKUP($E8,SAMD21G,12,FALSE))</f>
        <v>TC4:1</v>
      </c>
      <c r="S8" s="18" t="str">
        <f>IF(VLOOKUP($E8,SAMD21G,13,FALSE)=0,"",VLOOKUP($E8,SAMD21G,13,FALSE))</f>
        <v>TCC0:5</v>
      </c>
      <c r="T8" s="18" t="str">
        <f>IF(VLOOKUP($E8,SAMD21G,14,FALSE)=0,"",VLOOKUP($E8,SAMD21G,14,FALSE))</f>
        <v>USB/SOF 1kHz</v>
      </c>
      <c r="U8" s="18" t="str">
        <f>IF(VLOOKUP($E8,SAMD21G,15,FALSE)=0,"",VLOOKUP($E8,SAMD21G,15,FALSE))</f>
        <v>GCLK_IO[7]</v>
      </c>
    </row>
    <row r="9" spans="1:22" x14ac:dyDescent="0.3">
      <c r="B9" t="s">
        <v>68</v>
      </c>
      <c r="C9" t="s">
        <v>210</v>
      </c>
      <c r="D9" s="23" t="s">
        <v>352</v>
      </c>
    </row>
    <row r="10" spans="1:22" x14ac:dyDescent="0.3">
      <c r="A10" s="1">
        <v>39</v>
      </c>
      <c r="B10" t="s">
        <v>69</v>
      </c>
      <c r="C10" t="s">
        <v>211</v>
      </c>
      <c r="D10" s="23" t="s">
        <v>65</v>
      </c>
      <c r="E10" s="15">
        <v>33</v>
      </c>
      <c r="F10" s="5" t="s">
        <v>336</v>
      </c>
      <c r="H10" s="5" t="str">
        <f>VLOOKUP($E10,SAMD21G,2,FALSE)</f>
        <v>PA24(6)</v>
      </c>
      <c r="I10" s="18" t="str">
        <f>IF(VLOOKUP($E10,SAMD21G,3,FALSE)=0,"",VLOOKUP($E10,SAMD21G,3,FALSE))</f>
        <v>VDDIO</v>
      </c>
      <c r="J10" s="18" t="str">
        <f>IF(VLOOKUP($E10,SAMD21G,4,FALSE)=0,"",VLOOKUP($E10,SAMD21G,4,FALSE))</f>
        <v>EXTINT[12]</v>
      </c>
      <c r="K10" s="18" t="str">
        <f>IF(VLOOKUP($E10,SAMD21G,5,FALSE)=0,"",VLOOKUP($E10,SAMD21G,5,FALSE))</f>
        <v/>
      </c>
      <c r="L10" s="18" t="str">
        <f>IF(VLOOKUP($E10,SAMD21G,6,FALSE)=0,"",VLOOKUP($E10,SAMD21G,6,FALSE))</f>
        <v/>
      </c>
      <c r="M10" s="18" t="str">
        <f>IF(VLOOKUP($E10,SAMD21G,7,FALSE)=0,"",VLOOKUP($E10,SAMD21G,7,FALSE))</f>
        <v/>
      </c>
      <c r="N10" s="18" t="str">
        <f>IF(VLOOKUP($E10,SAMD21G,8,FALSE)=0,"",VLOOKUP($E10,SAMD21G,8,FALSE))</f>
        <v/>
      </c>
      <c r="O10" s="18" t="str">
        <f>IF(VLOOKUP($E10,SAMD21G,9,FALSE)=0,"",VLOOKUP($E10,SAMD21G,9,FALSE))</f>
        <v/>
      </c>
      <c r="P10" s="18" t="str">
        <f>IF(VLOOKUP($E10,SAMD21G,10,FALSE)=0,"",VLOOKUP($E10,SAMD21G,10,FALSE))</f>
        <v>SERCOM3:2</v>
      </c>
      <c r="Q10" s="18" t="str">
        <f>IF(VLOOKUP($E10,SAMD21G,11,FALSE)=0,"",VLOOKUP($E10,SAMD21G,11,FALSE))</f>
        <v>SERCOM5:2</v>
      </c>
      <c r="R10" s="18" t="str">
        <f>IF(VLOOKUP($E10,SAMD21G,12,FALSE)=0,"",VLOOKUP($E10,SAMD21G,12,FALSE))</f>
        <v>TC5:0</v>
      </c>
      <c r="S10" s="18" t="str">
        <f>IF(VLOOKUP($E10,SAMD21G,13,FALSE)=0,"",VLOOKUP($E10,SAMD21G,13,FALSE))</f>
        <v>TCC1:2</v>
      </c>
      <c r="T10" s="19" t="str">
        <f>IF(VLOOKUP($E10,SAMD21G,14,FALSE)=0,"",VLOOKUP($E10,SAMD21G,14,FALSE))</f>
        <v>USB/DM</v>
      </c>
      <c r="U10" s="18" t="str">
        <f>IF(VLOOKUP($E10,SAMD21G,15,FALSE)=0,"",VLOOKUP($E10,SAMD21G,15,FALSE))</f>
        <v/>
      </c>
    </row>
    <row r="11" spans="1:22" x14ac:dyDescent="0.3">
      <c r="A11" s="1">
        <v>40</v>
      </c>
      <c r="B11" t="s">
        <v>70</v>
      </c>
      <c r="C11" t="s">
        <v>212</v>
      </c>
      <c r="D11" s="23" t="s">
        <v>66</v>
      </c>
      <c r="E11" s="15">
        <v>34</v>
      </c>
      <c r="F11" s="5" t="s">
        <v>337</v>
      </c>
      <c r="H11" s="5" t="str">
        <f>VLOOKUP($E11,SAMD21G,2,FALSE)</f>
        <v>PA25(6)</v>
      </c>
      <c r="I11" s="18" t="str">
        <f>IF(VLOOKUP($E11,SAMD21G,3,FALSE)=0,"",VLOOKUP($E11,SAMD21G,3,FALSE))</f>
        <v>VDDIO</v>
      </c>
      <c r="J11" s="18" t="str">
        <f>IF(VLOOKUP($E11,SAMD21G,4,FALSE)=0,"",VLOOKUP($E11,SAMD21G,4,FALSE))</f>
        <v>EXTINT[13]</v>
      </c>
      <c r="K11" s="18" t="str">
        <f>IF(VLOOKUP($E11,SAMD21G,5,FALSE)=0,"",VLOOKUP($E11,SAMD21G,5,FALSE))</f>
        <v/>
      </c>
      <c r="L11" s="18" t="str">
        <f>IF(VLOOKUP($E11,SAMD21G,6,FALSE)=0,"",VLOOKUP($E11,SAMD21G,6,FALSE))</f>
        <v/>
      </c>
      <c r="M11" s="18" t="str">
        <f>IF(VLOOKUP($E11,SAMD21G,7,FALSE)=0,"",VLOOKUP($E11,SAMD21G,7,FALSE))</f>
        <v/>
      </c>
      <c r="N11" s="18" t="str">
        <f>IF(VLOOKUP($E11,SAMD21G,8,FALSE)=0,"",VLOOKUP($E11,SAMD21G,8,FALSE))</f>
        <v/>
      </c>
      <c r="O11" s="18" t="str">
        <f>IF(VLOOKUP($E11,SAMD21G,9,FALSE)=0,"",VLOOKUP($E11,SAMD21G,9,FALSE))</f>
        <v/>
      </c>
      <c r="P11" s="18" t="str">
        <f>IF(VLOOKUP($E11,SAMD21G,10,FALSE)=0,"",VLOOKUP($E11,SAMD21G,10,FALSE))</f>
        <v>SERCOM3:3</v>
      </c>
      <c r="Q11" s="18" t="str">
        <f>IF(VLOOKUP($E11,SAMD21G,11,FALSE)=0,"",VLOOKUP($E11,SAMD21G,11,FALSE))</f>
        <v>SERCOM5:3</v>
      </c>
      <c r="R11" s="18" t="str">
        <f>IF(VLOOKUP($E11,SAMD21G,12,FALSE)=0,"",VLOOKUP($E11,SAMD21G,12,FALSE))</f>
        <v>TC5:1</v>
      </c>
      <c r="S11" s="18" t="str">
        <f>IF(VLOOKUP($E11,SAMD21G,13,FALSE)=0,"",VLOOKUP($E11,SAMD21G,13,FALSE))</f>
        <v>TCC1:3</v>
      </c>
      <c r="T11" s="19" t="str">
        <f>IF(VLOOKUP($E11,SAMD21G,14,FALSE)=0,"",VLOOKUP($E11,SAMD21G,14,FALSE))</f>
        <v>USB/DP</v>
      </c>
      <c r="U11" s="18" t="str">
        <f>IF(VLOOKUP($E11,SAMD21G,15,FALSE)=0,"",VLOOKUP($E11,SAMD21G,15,FALSE))</f>
        <v/>
      </c>
    </row>
    <row r="12" spans="1:22" x14ac:dyDescent="0.3">
      <c r="B12" t="s">
        <v>72</v>
      </c>
      <c r="C12" t="s">
        <v>213</v>
      </c>
      <c r="D12" s="23" t="s">
        <v>324</v>
      </c>
    </row>
    <row r="13" spans="1:22" x14ac:dyDescent="0.3">
      <c r="B13" t="s">
        <v>71</v>
      </c>
      <c r="C13" t="s">
        <v>14</v>
      </c>
      <c r="D13" s="23" t="s">
        <v>14</v>
      </c>
    </row>
    <row r="14" spans="1:22" x14ac:dyDescent="0.3">
      <c r="B14" t="s">
        <v>73</v>
      </c>
      <c r="C14" t="s">
        <v>214</v>
      </c>
      <c r="D14" s="23" t="s">
        <v>214</v>
      </c>
    </row>
    <row r="15" spans="1:22" x14ac:dyDescent="0.3">
      <c r="B15" t="s">
        <v>217</v>
      </c>
      <c r="C15" t="s">
        <v>309</v>
      </c>
      <c r="D15" s="23" t="s">
        <v>14</v>
      </c>
    </row>
    <row r="16" spans="1:22" x14ac:dyDescent="0.3">
      <c r="B16" t="s">
        <v>216</v>
      </c>
      <c r="C16" t="s">
        <v>309</v>
      </c>
      <c r="D16" s="23" t="s">
        <v>215</v>
      </c>
    </row>
    <row r="17" spans="1:21" x14ac:dyDescent="0.3">
      <c r="B17" t="s">
        <v>218</v>
      </c>
      <c r="C17" t="s">
        <v>21</v>
      </c>
      <c r="D17" s="23" t="s">
        <v>16</v>
      </c>
    </row>
    <row r="18" spans="1:21" x14ac:dyDescent="0.3">
      <c r="B18" t="s">
        <v>219</v>
      </c>
      <c r="C18" t="s">
        <v>23</v>
      </c>
      <c r="D18" s="23" t="s">
        <v>30</v>
      </c>
    </row>
    <row r="19" spans="1:21" x14ac:dyDescent="0.3">
      <c r="B19" t="s">
        <v>220</v>
      </c>
      <c r="C19" t="s">
        <v>14</v>
      </c>
      <c r="D19" s="23" t="s">
        <v>14</v>
      </c>
    </row>
    <row r="20" spans="1:21" x14ac:dyDescent="0.3">
      <c r="B20" t="s">
        <v>221</v>
      </c>
      <c r="C20" t="s">
        <v>24</v>
      </c>
      <c r="D20" s="23" t="s">
        <v>77</v>
      </c>
    </row>
    <row r="21" spans="1:21" x14ac:dyDescent="0.3">
      <c r="B21" t="s">
        <v>222</v>
      </c>
      <c r="C21" t="s">
        <v>14</v>
      </c>
      <c r="D21" s="23" t="s">
        <v>14</v>
      </c>
    </row>
    <row r="22" spans="1:21" x14ac:dyDescent="0.3">
      <c r="B22" t="s">
        <v>223</v>
      </c>
      <c r="C22" t="s">
        <v>31</v>
      </c>
      <c r="D22" s="23" t="s">
        <v>347</v>
      </c>
    </row>
    <row r="23" spans="1:21" x14ac:dyDescent="0.3">
      <c r="B23" t="s">
        <v>224</v>
      </c>
      <c r="C23" t="s">
        <v>25</v>
      </c>
      <c r="D23" s="23" t="s">
        <v>347</v>
      </c>
    </row>
    <row r="24" spans="1:21" x14ac:dyDescent="0.3">
      <c r="B24" t="s">
        <v>225</v>
      </c>
      <c r="C24" t="s">
        <v>26</v>
      </c>
      <c r="D24" s="23" t="s">
        <v>347</v>
      </c>
    </row>
    <row r="25" spans="1:21" x14ac:dyDescent="0.3">
      <c r="B25" t="s">
        <v>226</v>
      </c>
      <c r="C25" t="s">
        <v>27</v>
      </c>
      <c r="D25" s="23" t="s">
        <v>347</v>
      </c>
    </row>
    <row r="26" spans="1:21" x14ac:dyDescent="0.3">
      <c r="B26" t="s">
        <v>22</v>
      </c>
      <c r="C26" t="s">
        <v>28</v>
      </c>
      <c r="D26" s="23" t="s">
        <v>10</v>
      </c>
    </row>
    <row r="27" spans="1:21" x14ac:dyDescent="0.3">
      <c r="B27" t="s">
        <v>29</v>
      </c>
      <c r="D27" s="23" t="s">
        <v>30</v>
      </c>
    </row>
    <row r="28" spans="1:21" x14ac:dyDescent="0.3">
      <c r="B28" t="s">
        <v>386</v>
      </c>
      <c r="C28" t="s">
        <v>311</v>
      </c>
      <c r="D28" t="s">
        <v>3</v>
      </c>
      <c r="E28" s="15">
        <v>32</v>
      </c>
      <c r="F28" s="5" t="s">
        <v>243</v>
      </c>
      <c r="H28" s="5" t="str">
        <f>VLOOKUP($E28,SAMD21G,2,FALSE)</f>
        <v>PA23</v>
      </c>
      <c r="I28" s="18" t="str">
        <f>IF(VLOOKUP($E28,SAMD21G,3,FALSE)=0,"",VLOOKUP($E28,SAMD21G,3,FALSE))</f>
        <v>VDDIO</v>
      </c>
      <c r="J28" s="18" t="str">
        <f>IF(VLOOKUP($E28,SAMD21G,4,FALSE)=0,"",VLOOKUP($E28,SAMD21G,4,FALSE))</f>
        <v>EXTINT[7]</v>
      </c>
      <c r="K28" s="18" t="str">
        <f>IF(VLOOKUP($E28,SAMD21G,5,FALSE)=0,"",VLOOKUP($E28,SAMD21G,5,FALSE))</f>
        <v/>
      </c>
      <c r="L28" s="18" t="str">
        <f>IF(VLOOKUP($E28,SAMD21G,6,FALSE)=0,"",VLOOKUP($E28,SAMD21G,6,FALSE))</f>
        <v/>
      </c>
      <c r="M28" s="18" t="str">
        <f>IF(VLOOKUP($E28,SAMD21G,7,FALSE)=0,"",VLOOKUP($E28,SAMD21G,7,FALSE))</f>
        <v/>
      </c>
      <c r="N28" s="18" t="str">
        <f>IF(VLOOKUP($E28,SAMD21G,8,FALSE)=0,"",VLOOKUP($E28,SAMD21G,8,FALSE))</f>
        <v>X[11]</v>
      </c>
      <c r="O28" s="18" t="str">
        <f>IF(VLOOKUP($E28,SAMD21G,9,FALSE)=0,"",VLOOKUP($E28,SAMD21G,9,FALSE))</f>
        <v/>
      </c>
      <c r="P28" s="19" t="str">
        <f>IF(VLOOKUP($E28,SAMD21G,10,FALSE)=0,"",VLOOKUP($E28,SAMD21G,10,FALSE))</f>
        <v>SERCOM3:1</v>
      </c>
      <c r="Q28" s="18" t="str">
        <f>IF(VLOOKUP($E28,SAMD21G,11,FALSE)=0,"",VLOOKUP($E28,SAMD21G,11,FALSE))</f>
        <v>SERCOM5:1</v>
      </c>
      <c r="R28" s="18" t="str">
        <f>IF(VLOOKUP($E28,SAMD21G,12,FALSE)=0,"",VLOOKUP($E28,SAMD21G,12,FALSE))</f>
        <v>TC4:1</v>
      </c>
      <c r="S28" s="18" t="str">
        <f>IF(VLOOKUP($E28,SAMD21G,13,FALSE)=0,"",VLOOKUP($E28,SAMD21G,13,FALSE))</f>
        <v>TCC0:5</v>
      </c>
      <c r="T28" s="18" t="str">
        <f>IF(VLOOKUP($E28,SAMD21G,14,FALSE)=0,"",VLOOKUP($E28,SAMD21G,14,FALSE))</f>
        <v>USB/SOF 1kHz</v>
      </c>
      <c r="U28" s="18" t="str">
        <f>IF(VLOOKUP($E28,SAMD21G,15,FALSE)=0,"",VLOOKUP($E28,SAMD21G,15,FALSE))</f>
        <v>GCLK_IO[7]</v>
      </c>
    </row>
    <row r="29" spans="1:21" x14ac:dyDescent="0.3">
      <c r="B29" t="s">
        <v>387</v>
      </c>
      <c r="C29" t="s">
        <v>311</v>
      </c>
      <c r="D29" t="s">
        <v>2</v>
      </c>
      <c r="E29" s="15">
        <v>31</v>
      </c>
      <c r="F29" s="5" t="s">
        <v>242</v>
      </c>
      <c r="H29" s="5" t="str">
        <f>VLOOKUP($E29,SAMD21G,2,FALSE)</f>
        <v>PA22</v>
      </c>
      <c r="I29" s="18" t="str">
        <f>IF(VLOOKUP($E29,SAMD21G,3,FALSE)=0,"",VLOOKUP($E29,SAMD21G,3,FALSE))</f>
        <v>VDDIO</v>
      </c>
      <c r="J29" s="18" t="str">
        <f>IF(VLOOKUP($E29,SAMD21G,4,FALSE)=0,"",VLOOKUP($E29,SAMD21G,4,FALSE))</f>
        <v>EXTINT[6]</v>
      </c>
      <c r="K29" s="18" t="str">
        <f>IF(VLOOKUP($E29,SAMD21G,5,FALSE)=0,"",VLOOKUP($E29,SAMD21G,5,FALSE))</f>
        <v/>
      </c>
      <c r="L29" s="18" t="str">
        <f>IF(VLOOKUP($E29,SAMD21G,6,FALSE)=0,"",VLOOKUP($E29,SAMD21G,6,FALSE))</f>
        <v/>
      </c>
      <c r="M29" s="18" t="str">
        <f>IF(VLOOKUP($E29,SAMD21G,7,FALSE)=0,"",VLOOKUP($E29,SAMD21G,7,FALSE))</f>
        <v/>
      </c>
      <c r="N29" s="18" t="str">
        <f>IF(VLOOKUP($E29,SAMD21G,8,FALSE)=0,"",VLOOKUP($E29,SAMD21G,8,FALSE))</f>
        <v>X[10]</v>
      </c>
      <c r="O29" s="18" t="str">
        <f>IF(VLOOKUP($E29,SAMD21G,9,FALSE)=0,"",VLOOKUP($E29,SAMD21G,9,FALSE))</f>
        <v/>
      </c>
      <c r="P29" s="19" t="str">
        <f>IF(VLOOKUP($E29,SAMD21G,10,FALSE)=0,"",VLOOKUP($E29,SAMD21G,10,FALSE))</f>
        <v>SERCOM3:0</v>
      </c>
      <c r="Q29" s="18" t="str">
        <f>IF(VLOOKUP($E29,SAMD21G,11,FALSE)=0,"",VLOOKUP($E29,SAMD21G,11,FALSE))</f>
        <v>SERCOM5:0</v>
      </c>
      <c r="R29" s="18" t="str">
        <f>IF(VLOOKUP($E29,SAMD21G,12,FALSE)=0,"",VLOOKUP($E29,SAMD21G,12,FALSE))</f>
        <v>TC4:0</v>
      </c>
      <c r="S29" s="18" t="str">
        <f>IF(VLOOKUP($E29,SAMD21G,13,FALSE)=0,"",VLOOKUP($E29,SAMD21G,13,FALSE))</f>
        <v>TCC0:4</v>
      </c>
      <c r="T29" s="18" t="str">
        <f>IF(VLOOKUP($E29,SAMD21G,14,FALSE)=0,"",VLOOKUP($E29,SAMD21G,14,FALSE))</f>
        <v/>
      </c>
      <c r="U29" s="18" t="str">
        <f>IF(VLOOKUP($E29,SAMD21G,15,FALSE)=0,"",VLOOKUP($E29,SAMD21G,15,FALSE))</f>
        <v>GCLK_IO[6]</v>
      </c>
    </row>
    <row r="30" spans="1:21" x14ac:dyDescent="0.3">
      <c r="A30" s="1">
        <v>8</v>
      </c>
      <c r="B30" t="s">
        <v>388</v>
      </c>
      <c r="C30" t="s">
        <v>312</v>
      </c>
      <c r="D30" s="23" t="s">
        <v>13</v>
      </c>
      <c r="E30" s="15">
        <v>4</v>
      </c>
      <c r="F30" s="5" t="s">
        <v>206</v>
      </c>
      <c r="H30" s="5" t="str">
        <f>VLOOKUP($E30,SAMD21G,2,FALSE)</f>
        <v>PA03</v>
      </c>
      <c r="I30" s="18" t="str">
        <f>IF(VLOOKUP($E30,SAMD21G,3,FALSE)=0,"",VLOOKUP($E30,SAMD21G,3,FALSE))</f>
        <v>VDDANA</v>
      </c>
      <c r="J30" s="18" t="str">
        <f>IF(VLOOKUP($E30,SAMD21G,4,FALSE)=0,"",VLOOKUP($E30,SAMD21G,4,FALSE))</f>
        <v>EXTINT[3]</v>
      </c>
      <c r="K30" s="19" t="str">
        <f>IF(VLOOKUP($E30,SAMD21G,5,FALSE)=0,"",VLOOKUP($E30,SAMD21G,5,FALSE))</f>
        <v>ADC/VREFA/DAC/VREFA</v>
      </c>
      <c r="L30" s="18" t="str">
        <f>IF(VLOOKUP($E30,SAMD21G,6,FALSE)=0,"",VLOOKUP($E30,SAMD21G,6,FALSE))</f>
        <v>AIN[1]</v>
      </c>
      <c r="M30" s="18" t="str">
        <f>IF(VLOOKUP($E30,SAMD21G,7,FALSE)=0,"",VLOOKUP($E30,SAMD21G,7,FALSE))</f>
        <v/>
      </c>
      <c r="N30" s="18" t="str">
        <f>IF(VLOOKUP($E30,SAMD21G,8,FALSE)=0,"",VLOOKUP($E30,SAMD21G,8,FALSE))</f>
        <v>Y[1]</v>
      </c>
      <c r="O30" s="18" t="str">
        <f>IF(VLOOKUP($E30,SAMD21G,9,FALSE)=0,"",VLOOKUP($E30,SAMD21G,9,FALSE))</f>
        <v/>
      </c>
      <c r="P30" s="18" t="str">
        <f>IF(VLOOKUP($E30,SAMD21G,10,FALSE)=0,"",VLOOKUP($E30,SAMD21G,10,FALSE))</f>
        <v/>
      </c>
      <c r="Q30" s="18" t="str">
        <f>IF(VLOOKUP($E30,SAMD21G,11,FALSE)=0,"",VLOOKUP($E30,SAMD21G,11,FALSE))</f>
        <v/>
      </c>
      <c r="R30" s="18" t="str">
        <f>IF(VLOOKUP($E30,SAMD21G,12,FALSE)=0,"",VLOOKUP($E30,SAMD21G,12,FALSE))</f>
        <v/>
      </c>
      <c r="S30" s="18" t="str">
        <f>IF(VLOOKUP($E30,SAMD21G,13,FALSE)=0,"",VLOOKUP($E30,SAMD21G,13,FALSE))</f>
        <v>TCC3:1</v>
      </c>
      <c r="T30" s="18" t="str">
        <f>IF(VLOOKUP($E30,SAMD21G,14,FALSE)=0,"",VLOOKUP($E30,SAMD21G,14,FALSE))</f>
        <v/>
      </c>
      <c r="U30" s="18" t="str">
        <f>IF(VLOOKUP($E30,SAMD21G,15,FALSE)=0,"",VLOOKUP($E30,SAMD21G,15,FALSE))</f>
        <v/>
      </c>
    </row>
    <row r="31" spans="1:21" x14ac:dyDescent="0.3">
      <c r="B31" t="s">
        <v>389</v>
      </c>
      <c r="C31" t="s">
        <v>308</v>
      </c>
      <c r="D31" t="s">
        <v>14</v>
      </c>
    </row>
    <row r="32" spans="1:21" x14ac:dyDescent="0.3">
      <c r="A32" s="1">
        <v>32</v>
      </c>
      <c r="B32" t="s">
        <v>390</v>
      </c>
      <c r="C32" t="s">
        <v>313</v>
      </c>
      <c r="D32" s="23" t="s">
        <v>291</v>
      </c>
      <c r="E32" s="15">
        <v>26</v>
      </c>
      <c r="F32" s="5" t="s">
        <v>59</v>
      </c>
      <c r="G32" s="5" t="s">
        <v>332</v>
      </c>
      <c r="H32" s="13" t="str">
        <f t="shared" ref="H32:H51" si="0">VLOOKUP($E32,SAMD21G,2,FALSE)</f>
        <v>PA17</v>
      </c>
      <c r="I32" s="18" t="str">
        <f t="shared" ref="I32:I51" si="1">IF(VLOOKUP($E32,SAMD21G,3,FALSE)=0,"",VLOOKUP($E32,SAMD21G,3,FALSE))</f>
        <v>VDDIO</v>
      </c>
      <c r="J32" s="18" t="str">
        <f t="shared" ref="J32:J51" si="2">IF(VLOOKUP($E32,SAMD21G,4,FALSE)=0,"",VLOOKUP($E32,SAMD21G,4,FALSE))</f>
        <v>EXTINT[1]</v>
      </c>
      <c r="K32" s="18" t="str">
        <f t="shared" ref="K32:K51" si="3">IF(VLOOKUP($E32,SAMD21G,5,FALSE)=0,"",VLOOKUP($E32,SAMD21G,5,FALSE))</f>
        <v/>
      </c>
      <c r="L32" s="18" t="str">
        <f t="shared" ref="L32:L51" si="4">IF(VLOOKUP($E32,SAMD21G,6,FALSE)=0,"",VLOOKUP($E32,SAMD21G,6,FALSE))</f>
        <v/>
      </c>
      <c r="M32" s="18" t="str">
        <f t="shared" ref="M32:M51" si="5">IF(VLOOKUP($E32,SAMD21G,7,FALSE)=0,"",VLOOKUP($E32,SAMD21G,7,FALSE))</f>
        <v/>
      </c>
      <c r="N32" s="18" t="str">
        <f t="shared" ref="N32:N51" si="6">IF(VLOOKUP($E32,SAMD21G,8,FALSE)=0,"",VLOOKUP($E32,SAMD21G,8,FALSE))</f>
        <v>X[5]</v>
      </c>
      <c r="O32" s="18" t="str">
        <f t="shared" ref="O32:O51" si="7">IF(VLOOKUP($E32,SAMD21G,9,FALSE)=0,"",VLOOKUP($E32,SAMD21G,9,FALSE))</f>
        <v/>
      </c>
      <c r="P32" s="18" t="str">
        <f t="shared" ref="P32:P51" si="8">IF(VLOOKUP($E32,SAMD21G,10,FALSE)=0,"",VLOOKUP($E32,SAMD21G,10,FALSE))</f>
        <v>SERCOM1:1</v>
      </c>
      <c r="Q32" s="18" t="str">
        <f t="shared" ref="Q32:Q51" si="9">IF(VLOOKUP($E32,SAMD21G,11,FALSE)=0,"",VLOOKUP($E32,SAMD21G,11,FALSE))</f>
        <v>SERCOM3:1</v>
      </c>
      <c r="R32" s="18" t="str">
        <f t="shared" ref="R32:R51" si="10">IF(VLOOKUP($E32,SAMD21G,12,FALSE)=0,"",VLOOKUP($E32,SAMD21G,12,FALSE))</f>
        <v>TCC2:1</v>
      </c>
      <c r="S32" s="18" t="str">
        <f t="shared" ref="S32:S51" si="11">IF(VLOOKUP($E32,SAMD21G,13,FALSE)=0,"",VLOOKUP($E32,SAMD21G,13,FALSE))</f>
        <v>TCC0:7</v>
      </c>
      <c r="T32" s="18" t="str">
        <f t="shared" ref="T32:T51" si="12">IF(VLOOKUP($E32,SAMD21G,14,FALSE)=0,"",VLOOKUP($E32,SAMD21G,14,FALSE))</f>
        <v/>
      </c>
      <c r="U32" s="18" t="str">
        <f t="shared" ref="U32:U51" si="13">IF(VLOOKUP($E32,SAMD21G,15,FALSE)=0,"",VLOOKUP($E32,SAMD21G,15,FALSE))</f>
        <v>GCLK_IO[3]</v>
      </c>
    </row>
    <row r="33" spans="1:21" x14ac:dyDescent="0.3">
      <c r="A33" s="1">
        <v>34</v>
      </c>
      <c r="B33" t="s">
        <v>391</v>
      </c>
      <c r="C33" t="s">
        <v>313</v>
      </c>
      <c r="D33" s="23" t="s">
        <v>292</v>
      </c>
      <c r="E33" s="15">
        <v>28</v>
      </c>
      <c r="F33" s="5" t="s">
        <v>61</v>
      </c>
      <c r="G33" s="5" t="s">
        <v>332</v>
      </c>
      <c r="H33" s="13" t="str">
        <f t="shared" si="0"/>
        <v>PA19</v>
      </c>
      <c r="I33" s="18" t="str">
        <f t="shared" si="1"/>
        <v>VDDIO</v>
      </c>
      <c r="J33" s="18" t="str">
        <f t="shared" si="2"/>
        <v>EXTINT[3]</v>
      </c>
      <c r="K33" s="18" t="str">
        <f t="shared" si="3"/>
        <v/>
      </c>
      <c r="L33" s="18" t="str">
        <f t="shared" si="4"/>
        <v/>
      </c>
      <c r="M33" s="18" t="str">
        <f t="shared" si="5"/>
        <v/>
      </c>
      <c r="N33" s="18" t="str">
        <f t="shared" si="6"/>
        <v>X[7]</v>
      </c>
      <c r="O33" s="18" t="str">
        <f t="shared" si="7"/>
        <v/>
      </c>
      <c r="P33" s="18" t="str">
        <f t="shared" si="8"/>
        <v>SERCOM1:3</v>
      </c>
      <c r="Q33" s="18" t="str">
        <f t="shared" si="9"/>
        <v>SERCOM3:3</v>
      </c>
      <c r="R33" s="18" t="str">
        <f t="shared" si="10"/>
        <v>TC3:1</v>
      </c>
      <c r="S33" s="18" t="str">
        <f t="shared" si="11"/>
        <v>TCC0:3</v>
      </c>
      <c r="T33" s="18" t="str">
        <f t="shared" si="12"/>
        <v>I2S/SD[0]</v>
      </c>
      <c r="U33" s="18" t="str">
        <f t="shared" si="13"/>
        <v>AC/CMP[1]</v>
      </c>
    </row>
    <row r="34" spans="1:21" x14ac:dyDescent="0.3">
      <c r="A34" s="1">
        <v>31</v>
      </c>
      <c r="B34" t="s">
        <v>392</v>
      </c>
      <c r="C34" t="s">
        <v>313</v>
      </c>
      <c r="D34" s="23" t="s">
        <v>293</v>
      </c>
      <c r="E34" s="15">
        <v>25</v>
      </c>
      <c r="F34" s="5" t="s">
        <v>58</v>
      </c>
      <c r="G34" s="5" t="s">
        <v>332</v>
      </c>
      <c r="H34" s="13" t="str">
        <f t="shared" si="0"/>
        <v>PA16</v>
      </c>
      <c r="I34" s="18" t="str">
        <f t="shared" si="1"/>
        <v>VDDIO</v>
      </c>
      <c r="J34" s="18" t="str">
        <f t="shared" si="2"/>
        <v>EXTINT[0]</v>
      </c>
      <c r="K34" s="18" t="str">
        <f t="shared" si="3"/>
        <v/>
      </c>
      <c r="L34" s="18" t="str">
        <f t="shared" si="4"/>
        <v/>
      </c>
      <c r="M34" s="18" t="str">
        <f t="shared" si="5"/>
        <v/>
      </c>
      <c r="N34" s="18" t="str">
        <f t="shared" si="6"/>
        <v>X[4]</v>
      </c>
      <c r="O34" s="18" t="str">
        <f t="shared" si="7"/>
        <v/>
      </c>
      <c r="P34" s="18" t="str">
        <f t="shared" si="8"/>
        <v>SERCOM1:0</v>
      </c>
      <c r="Q34" s="18" t="str">
        <f t="shared" si="9"/>
        <v>SERCOM3:0</v>
      </c>
      <c r="R34" s="18" t="str">
        <f t="shared" si="10"/>
        <v>TCC2:0</v>
      </c>
      <c r="S34" s="18" t="str">
        <f t="shared" si="11"/>
        <v>TCC0:6</v>
      </c>
      <c r="T34" s="18" t="str">
        <f t="shared" si="12"/>
        <v/>
      </c>
      <c r="U34" s="18" t="str">
        <f t="shared" si="13"/>
        <v>GCLK_IO[2]</v>
      </c>
    </row>
    <row r="35" spans="1:21" x14ac:dyDescent="0.3">
      <c r="A35" s="1">
        <v>33</v>
      </c>
      <c r="B35" t="s">
        <v>393</v>
      </c>
      <c r="C35" t="s">
        <v>313</v>
      </c>
      <c r="D35" s="23" t="s">
        <v>294</v>
      </c>
      <c r="E35" s="15">
        <v>27</v>
      </c>
      <c r="F35" s="5" t="s">
        <v>60</v>
      </c>
      <c r="G35" s="5" t="s">
        <v>332</v>
      </c>
      <c r="H35" s="13" t="str">
        <f t="shared" si="0"/>
        <v>PA18</v>
      </c>
      <c r="I35" s="18" t="str">
        <f t="shared" si="1"/>
        <v>VDDIO</v>
      </c>
      <c r="J35" s="18" t="str">
        <f t="shared" si="2"/>
        <v>EXTINT[2]</v>
      </c>
      <c r="K35" s="18" t="str">
        <f t="shared" si="3"/>
        <v/>
      </c>
      <c r="L35" s="18" t="str">
        <f t="shared" si="4"/>
        <v/>
      </c>
      <c r="M35" s="18" t="str">
        <f t="shared" si="5"/>
        <v/>
      </c>
      <c r="N35" s="18" t="str">
        <f t="shared" si="6"/>
        <v>X[6]</v>
      </c>
      <c r="O35" s="18" t="str">
        <f t="shared" si="7"/>
        <v/>
      </c>
      <c r="P35" s="18" t="str">
        <f t="shared" si="8"/>
        <v>SERCOM1:2</v>
      </c>
      <c r="Q35" s="18" t="str">
        <f t="shared" si="9"/>
        <v>SERCOM3:2</v>
      </c>
      <c r="R35" s="18" t="str">
        <f t="shared" si="10"/>
        <v>TC3:0</v>
      </c>
      <c r="S35" s="18" t="str">
        <f t="shared" si="11"/>
        <v>TCC0:2</v>
      </c>
      <c r="T35" s="18" t="str">
        <f t="shared" si="12"/>
        <v/>
      </c>
      <c r="U35" s="18" t="str">
        <f t="shared" si="13"/>
        <v>AC/CMP[0]</v>
      </c>
    </row>
    <row r="36" spans="1:21" x14ac:dyDescent="0.3">
      <c r="A36" s="1">
        <v>12</v>
      </c>
      <c r="B36" t="s">
        <v>394</v>
      </c>
      <c r="C36" t="s">
        <v>313</v>
      </c>
      <c r="D36" s="23" t="s">
        <v>295</v>
      </c>
      <c r="E36" s="15">
        <v>12</v>
      </c>
      <c r="F36" s="5" t="s">
        <v>39</v>
      </c>
      <c r="G36" s="5" t="s">
        <v>332</v>
      </c>
      <c r="H36" s="13" t="str">
        <f t="shared" si="0"/>
        <v>PA07</v>
      </c>
      <c r="I36" s="18" t="str">
        <f t="shared" si="1"/>
        <v>VDDANA</v>
      </c>
      <c r="J36" s="18" t="str">
        <f t="shared" si="2"/>
        <v>EXTINT[7]</v>
      </c>
      <c r="K36" s="18" t="str">
        <f t="shared" si="3"/>
        <v/>
      </c>
      <c r="L36" s="18" t="str">
        <f t="shared" si="4"/>
        <v>AIN[7]</v>
      </c>
      <c r="M36" s="18" t="str">
        <f t="shared" si="5"/>
        <v>AIN[3]</v>
      </c>
      <c r="N36" s="18" t="str">
        <f t="shared" si="6"/>
        <v>Y[5]</v>
      </c>
      <c r="O36" s="18" t="str">
        <f t="shared" si="7"/>
        <v/>
      </c>
      <c r="P36" s="18" t="str">
        <f t="shared" si="8"/>
        <v/>
      </c>
      <c r="Q36" s="18" t="str">
        <f t="shared" si="9"/>
        <v>SERCOM0:3</v>
      </c>
      <c r="R36" s="18" t="str">
        <f t="shared" si="10"/>
        <v>TCC1:1</v>
      </c>
      <c r="S36" s="18" t="str">
        <f t="shared" si="11"/>
        <v>TCC3:5</v>
      </c>
      <c r="T36" s="18" t="str">
        <f t="shared" si="12"/>
        <v>I2S/SD[0]</v>
      </c>
      <c r="U36" s="18" t="str">
        <f t="shared" si="13"/>
        <v/>
      </c>
    </row>
    <row r="37" spans="1:21" x14ac:dyDescent="0.3">
      <c r="A37" s="1">
        <v>11</v>
      </c>
      <c r="B37" t="s">
        <v>395</v>
      </c>
      <c r="C37" t="s">
        <v>313</v>
      </c>
      <c r="D37" s="23" t="s">
        <v>296</v>
      </c>
      <c r="E37" s="15">
        <v>11</v>
      </c>
      <c r="F37" s="5" t="s">
        <v>38</v>
      </c>
      <c r="G37" s="5" t="s">
        <v>332</v>
      </c>
      <c r="H37" s="13" t="str">
        <f t="shared" si="0"/>
        <v>PA06</v>
      </c>
      <c r="I37" s="18" t="str">
        <f t="shared" si="1"/>
        <v>VDDANA</v>
      </c>
      <c r="J37" s="18" t="str">
        <f t="shared" si="2"/>
        <v>EXTINT[6]</v>
      </c>
      <c r="K37" s="18" t="str">
        <f t="shared" si="3"/>
        <v/>
      </c>
      <c r="L37" s="18" t="str">
        <f t="shared" si="4"/>
        <v>AIN[6]</v>
      </c>
      <c r="M37" s="18" t="str">
        <f t="shared" si="5"/>
        <v>AIN[2]</v>
      </c>
      <c r="N37" s="18" t="str">
        <f t="shared" si="6"/>
        <v>Y[4]</v>
      </c>
      <c r="O37" s="18" t="str">
        <f t="shared" si="7"/>
        <v/>
      </c>
      <c r="P37" s="18" t="str">
        <f t="shared" si="8"/>
        <v/>
      </c>
      <c r="Q37" s="18" t="str">
        <f t="shared" si="9"/>
        <v>SERCOM0:2</v>
      </c>
      <c r="R37" s="18" t="str">
        <f t="shared" si="10"/>
        <v>TCC1:0</v>
      </c>
      <c r="S37" s="18" t="str">
        <f t="shared" si="11"/>
        <v>TCC3:4</v>
      </c>
      <c r="T37" s="18" t="str">
        <f t="shared" si="12"/>
        <v/>
      </c>
      <c r="U37" s="18" t="str">
        <f t="shared" si="13"/>
        <v/>
      </c>
    </row>
    <row r="38" spans="1:21" x14ac:dyDescent="0.3">
      <c r="A38" s="1">
        <v>36</v>
      </c>
      <c r="B38" t="s">
        <v>396</v>
      </c>
      <c r="C38" t="s">
        <v>313</v>
      </c>
      <c r="D38" s="23" t="s">
        <v>1</v>
      </c>
      <c r="E38" s="15">
        <v>30</v>
      </c>
      <c r="F38" s="5" t="s">
        <v>63</v>
      </c>
      <c r="G38" s="5" t="s">
        <v>332</v>
      </c>
      <c r="H38" s="13" t="str">
        <f t="shared" si="0"/>
        <v>PA21</v>
      </c>
      <c r="I38" s="18" t="str">
        <f t="shared" si="1"/>
        <v>VDDIO</v>
      </c>
      <c r="J38" s="18" t="str">
        <f t="shared" si="2"/>
        <v>EXTINT[5]</v>
      </c>
      <c r="K38" s="18" t="str">
        <f t="shared" si="3"/>
        <v/>
      </c>
      <c r="L38" s="18" t="str">
        <f t="shared" si="4"/>
        <v/>
      </c>
      <c r="M38" s="18" t="str">
        <f t="shared" si="5"/>
        <v/>
      </c>
      <c r="N38" s="18" t="str">
        <f t="shared" si="6"/>
        <v>X[9]</v>
      </c>
      <c r="O38" s="18" t="str">
        <f t="shared" si="7"/>
        <v/>
      </c>
      <c r="P38" s="18" t="str">
        <f t="shared" si="8"/>
        <v>SERCOM5:3</v>
      </c>
      <c r="Q38" s="18" t="str">
        <f t="shared" si="9"/>
        <v>SERCOM3:3</v>
      </c>
      <c r="R38" s="18" t="str">
        <f t="shared" si="10"/>
        <v>TC7:1</v>
      </c>
      <c r="S38" s="18" t="str">
        <f t="shared" si="11"/>
        <v>TCC0:7</v>
      </c>
      <c r="T38" s="18" t="str">
        <f t="shared" si="12"/>
        <v>I2S/FS[0]</v>
      </c>
      <c r="U38" s="18" t="str">
        <f t="shared" si="13"/>
        <v>GCLK_IO[5]</v>
      </c>
    </row>
    <row r="39" spans="1:21" x14ac:dyDescent="0.3">
      <c r="A39" s="1">
        <v>35</v>
      </c>
      <c r="B39" t="s">
        <v>397</v>
      </c>
      <c r="C39" t="s">
        <v>313</v>
      </c>
      <c r="D39" s="23" t="s">
        <v>297</v>
      </c>
      <c r="E39" s="15">
        <v>29</v>
      </c>
      <c r="F39" s="5" t="s">
        <v>62</v>
      </c>
      <c r="G39" s="5" t="s">
        <v>332</v>
      </c>
      <c r="H39" s="13" t="str">
        <f t="shared" si="0"/>
        <v>PA20</v>
      </c>
      <c r="I39" s="18" t="str">
        <f t="shared" si="1"/>
        <v>VDDIO</v>
      </c>
      <c r="J39" s="18" t="str">
        <f t="shared" si="2"/>
        <v>EXTINT[4]</v>
      </c>
      <c r="K39" s="18" t="str">
        <f t="shared" si="3"/>
        <v/>
      </c>
      <c r="L39" s="18" t="str">
        <f t="shared" si="4"/>
        <v/>
      </c>
      <c r="M39" s="18" t="str">
        <f t="shared" si="5"/>
        <v/>
      </c>
      <c r="N39" s="18" t="str">
        <f t="shared" si="6"/>
        <v>X[8]</v>
      </c>
      <c r="O39" s="18" t="str">
        <f t="shared" si="7"/>
        <v/>
      </c>
      <c r="P39" s="18" t="str">
        <f t="shared" si="8"/>
        <v>SERCOM5:2</v>
      </c>
      <c r="Q39" s="18" t="str">
        <f t="shared" si="9"/>
        <v>SERCOM3:2</v>
      </c>
      <c r="R39" s="18" t="str">
        <f t="shared" si="10"/>
        <v>TC7:0</v>
      </c>
      <c r="S39" s="18" t="str">
        <f t="shared" si="11"/>
        <v>TCC0:6</v>
      </c>
      <c r="T39" s="18" t="str">
        <f t="shared" si="12"/>
        <v>I2S/SCK[0]</v>
      </c>
      <c r="U39" s="18" t="str">
        <f t="shared" si="13"/>
        <v>GCLK_IO[4]</v>
      </c>
    </row>
    <row r="40" spans="1:21" x14ac:dyDescent="0.3">
      <c r="A40" s="1">
        <v>30</v>
      </c>
      <c r="B40" t="s">
        <v>398</v>
      </c>
      <c r="C40" t="s">
        <v>313</v>
      </c>
      <c r="D40" s="23" t="s">
        <v>299</v>
      </c>
      <c r="E40" s="15">
        <v>24</v>
      </c>
      <c r="F40" s="5" t="s">
        <v>57</v>
      </c>
      <c r="G40" s="5" t="s">
        <v>332</v>
      </c>
      <c r="H40" s="13" t="str">
        <f t="shared" si="0"/>
        <v>PA15</v>
      </c>
      <c r="I40" s="18" t="str">
        <f t="shared" si="1"/>
        <v>VDDIO</v>
      </c>
      <c r="J40" s="18" t="str">
        <f t="shared" si="2"/>
        <v>EXTINT[15]</v>
      </c>
      <c r="K40" s="18" t="str">
        <f t="shared" si="3"/>
        <v/>
      </c>
      <c r="L40" s="18" t="str">
        <f t="shared" si="4"/>
        <v/>
      </c>
      <c r="M40" s="18" t="str">
        <f t="shared" si="5"/>
        <v/>
      </c>
      <c r="N40" s="18" t="str">
        <f t="shared" si="6"/>
        <v/>
      </c>
      <c r="O40" s="18" t="str">
        <f t="shared" si="7"/>
        <v/>
      </c>
      <c r="P40" s="18" t="str">
        <f t="shared" si="8"/>
        <v>SERCOM2:3</v>
      </c>
      <c r="Q40" s="18" t="str">
        <f t="shared" si="9"/>
        <v>SERCOM4:3</v>
      </c>
      <c r="R40" s="18" t="str">
        <f t="shared" si="10"/>
        <v>TC3:1</v>
      </c>
      <c r="S40" s="18" t="str">
        <f t="shared" si="11"/>
        <v>TCC0:5</v>
      </c>
      <c r="T40" s="18" t="str">
        <f t="shared" si="12"/>
        <v/>
      </c>
      <c r="U40" s="18" t="str">
        <f t="shared" si="13"/>
        <v>GCLK_IO[1]</v>
      </c>
    </row>
    <row r="41" spans="1:21" x14ac:dyDescent="0.3">
      <c r="A41" s="1">
        <v>23</v>
      </c>
      <c r="B41" t="s">
        <v>399</v>
      </c>
      <c r="C41" t="s">
        <v>313</v>
      </c>
      <c r="D41" s="23" t="s">
        <v>298</v>
      </c>
      <c r="E41" s="15">
        <v>13</v>
      </c>
      <c r="F41" s="5" t="s">
        <v>46</v>
      </c>
      <c r="G41" s="5" t="s">
        <v>332</v>
      </c>
      <c r="H41" s="13" t="str">
        <f t="shared" si="0"/>
        <v>PA08</v>
      </c>
      <c r="I41" s="18" t="str">
        <f t="shared" si="1"/>
        <v>VDDIO</v>
      </c>
      <c r="J41" s="18" t="str">
        <f t="shared" si="2"/>
        <v>NMI</v>
      </c>
      <c r="K41" s="18" t="str">
        <f t="shared" si="3"/>
        <v/>
      </c>
      <c r="L41" s="18" t="str">
        <f t="shared" si="4"/>
        <v>AIN[16]</v>
      </c>
      <c r="M41" s="18" t="str">
        <f t="shared" si="5"/>
        <v/>
      </c>
      <c r="N41" s="18" t="str">
        <f t="shared" si="6"/>
        <v>X[0]</v>
      </c>
      <c r="O41" s="18" t="str">
        <f t="shared" si="7"/>
        <v/>
      </c>
      <c r="P41" s="18" t="str">
        <f t="shared" si="8"/>
        <v>SERCOM0:0</v>
      </c>
      <c r="Q41" s="18" t="str">
        <f t="shared" si="9"/>
        <v>SERCOM2:0</v>
      </c>
      <c r="R41" s="18" t="str">
        <f t="shared" si="10"/>
        <v>TCC0:0</v>
      </c>
      <c r="S41" s="18" t="str">
        <f t="shared" si="11"/>
        <v>TCC1:2</v>
      </c>
      <c r="T41" s="18" t="str">
        <f t="shared" si="12"/>
        <v>I2S/SD[1]</v>
      </c>
      <c r="U41" s="18" t="str">
        <f t="shared" si="13"/>
        <v/>
      </c>
    </row>
    <row r="42" spans="1:21" x14ac:dyDescent="0.3">
      <c r="A42" s="1">
        <v>24</v>
      </c>
      <c r="B42" t="s">
        <v>400</v>
      </c>
      <c r="C42" t="s">
        <v>313</v>
      </c>
      <c r="D42" s="23" t="s">
        <v>300</v>
      </c>
      <c r="E42" s="15">
        <v>14</v>
      </c>
      <c r="F42" s="5" t="s">
        <v>47</v>
      </c>
      <c r="G42" s="5" t="s">
        <v>332</v>
      </c>
      <c r="H42" s="13" t="str">
        <f t="shared" si="0"/>
        <v>PA09</v>
      </c>
      <c r="I42" s="18" t="str">
        <f t="shared" si="1"/>
        <v>VDDIO</v>
      </c>
      <c r="J42" s="18" t="str">
        <f t="shared" si="2"/>
        <v>EXTINT[9]</v>
      </c>
      <c r="K42" s="18" t="str">
        <f t="shared" si="3"/>
        <v/>
      </c>
      <c r="L42" s="18" t="str">
        <f t="shared" si="4"/>
        <v>AIN[17]</v>
      </c>
      <c r="M42" s="18" t="str">
        <f t="shared" si="5"/>
        <v/>
      </c>
      <c r="N42" s="18" t="str">
        <f t="shared" si="6"/>
        <v>X[1]</v>
      </c>
      <c r="O42" s="18" t="str">
        <f t="shared" si="7"/>
        <v/>
      </c>
      <c r="P42" s="18" t="str">
        <f t="shared" si="8"/>
        <v>SERCOM0:1</v>
      </c>
      <c r="Q42" s="18" t="str">
        <f t="shared" si="9"/>
        <v>SERCOM2:1</v>
      </c>
      <c r="R42" s="18" t="str">
        <f t="shared" si="10"/>
        <v>TCC0:1</v>
      </c>
      <c r="S42" s="18" t="str">
        <f t="shared" si="11"/>
        <v>TCC1:3</v>
      </c>
      <c r="T42" s="18" t="str">
        <f t="shared" si="12"/>
        <v>I2S/MCK[0]</v>
      </c>
      <c r="U42" s="18" t="str">
        <f t="shared" si="13"/>
        <v/>
      </c>
    </row>
    <row r="43" spans="1:21" x14ac:dyDescent="0.3">
      <c r="A43" s="1">
        <v>29</v>
      </c>
      <c r="B43" t="s">
        <v>401</v>
      </c>
      <c r="C43" t="s">
        <v>313</v>
      </c>
      <c r="D43" s="23" t="s">
        <v>0</v>
      </c>
      <c r="E43" s="15">
        <v>23</v>
      </c>
      <c r="F43" s="5" t="s">
        <v>56</v>
      </c>
      <c r="G43" s="5" t="s">
        <v>332</v>
      </c>
      <c r="H43" s="13" t="str">
        <f t="shared" si="0"/>
        <v>PA14</v>
      </c>
      <c r="I43" s="18" t="str">
        <f t="shared" si="1"/>
        <v>VDDIO</v>
      </c>
      <c r="J43" s="18" t="str">
        <f t="shared" si="2"/>
        <v>EXTINT[14]</v>
      </c>
      <c r="K43" s="18" t="str">
        <f t="shared" si="3"/>
        <v/>
      </c>
      <c r="L43" s="18" t="str">
        <f t="shared" si="4"/>
        <v/>
      </c>
      <c r="M43" s="18" t="str">
        <f t="shared" si="5"/>
        <v/>
      </c>
      <c r="N43" s="18" t="str">
        <f t="shared" si="6"/>
        <v/>
      </c>
      <c r="O43" s="18" t="str">
        <f t="shared" si="7"/>
        <v/>
      </c>
      <c r="P43" s="18" t="str">
        <f t="shared" si="8"/>
        <v>SERCOM2:2</v>
      </c>
      <c r="Q43" s="18" t="str">
        <f t="shared" si="9"/>
        <v>SERCOM4:2</v>
      </c>
      <c r="R43" s="18" t="str">
        <f t="shared" si="10"/>
        <v>TC3:0</v>
      </c>
      <c r="S43" s="18" t="str">
        <f t="shared" si="11"/>
        <v>TCC0:4</v>
      </c>
      <c r="T43" s="18" t="str">
        <f t="shared" si="12"/>
        <v/>
      </c>
      <c r="U43" s="18" t="str">
        <f t="shared" si="13"/>
        <v>GCLK_IO[0]</v>
      </c>
    </row>
    <row r="44" spans="1:21" x14ac:dyDescent="0.3">
      <c r="A44" s="1">
        <v>25</v>
      </c>
      <c r="B44" t="s">
        <v>402</v>
      </c>
      <c r="C44" t="s">
        <v>313</v>
      </c>
      <c r="D44" s="23" t="s">
        <v>4</v>
      </c>
      <c r="E44" s="15">
        <v>15</v>
      </c>
      <c r="F44" s="5" t="s">
        <v>318</v>
      </c>
      <c r="H44" s="13" t="str">
        <f t="shared" si="0"/>
        <v>PA10</v>
      </c>
      <c r="I44" s="18" t="str">
        <f t="shared" si="1"/>
        <v>VDDIO</v>
      </c>
      <c r="J44" s="18" t="str">
        <f t="shared" si="2"/>
        <v>EXTINT[10]</v>
      </c>
      <c r="K44" s="18" t="str">
        <f t="shared" si="3"/>
        <v/>
      </c>
      <c r="L44" s="18" t="str">
        <f t="shared" si="4"/>
        <v>AIN[18]</v>
      </c>
      <c r="M44" s="18" t="str">
        <f t="shared" si="5"/>
        <v/>
      </c>
      <c r="N44" s="18" t="str">
        <f t="shared" si="6"/>
        <v>X[2]</v>
      </c>
      <c r="O44" s="18" t="str">
        <f t="shared" si="7"/>
        <v/>
      </c>
      <c r="P44" s="19" t="str">
        <f t="shared" si="8"/>
        <v>SERCOM0:2</v>
      </c>
      <c r="Q44" s="18" t="str">
        <f t="shared" si="9"/>
        <v>SERCOM2:2</v>
      </c>
      <c r="R44" s="18" t="str">
        <f t="shared" si="10"/>
        <v>TCC1:0</v>
      </c>
      <c r="S44" s="18" t="str">
        <f t="shared" si="11"/>
        <v>TCC0:2</v>
      </c>
      <c r="T44" s="18" t="str">
        <f t="shared" si="12"/>
        <v>I2S/SCK[0]</v>
      </c>
      <c r="U44" s="18" t="str">
        <f t="shared" si="13"/>
        <v>GCLK_IO[4]</v>
      </c>
    </row>
    <row r="45" spans="1:21" x14ac:dyDescent="0.3">
      <c r="A45" s="1">
        <v>26</v>
      </c>
      <c r="B45" t="s">
        <v>403</v>
      </c>
      <c r="C45" t="s">
        <v>313</v>
      </c>
      <c r="D45" s="23" t="s">
        <v>49</v>
      </c>
      <c r="E45" s="15">
        <v>16</v>
      </c>
      <c r="F45" s="5" t="s">
        <v>319</v>
      </c>
      <c r="H45" s="13" t="str">
        <f t="shared" si="0"/>
        <v>PA11</v>
      </c>
      <c r="I45" s="18" t="str">
        <f t="shared" si="1"/>
        <v>VDDIO</v>
      </c>
      <c r="J45" s="18" t="str">
        <f t="shared" si="2"/>
        <v>EXTINT[11]</v>
      </c>
      <c r="K45" s="18" t="str">
        <f t="shared" si="3"/>
        <v/>
      </c>
      <c r="L45" s="18" t="str">
        <f t="shared" si="4"/>
        <v>AIN[19]</v>
      </c>
      <c r="M45" s="18" t="str">
        <f t="shared" si="5"/>
        <v/>
      </c>
      <c r="N45" s="18" t="str">
        <f t="shared" si="6"/>
        <v>X[3]</v>
      </c>
      <c r="O45" s="18" t="str">
        <f t="shared" si="7"/>
        <v/>
      </c>
      <c r="P45" s="19" t="str">
        <f t="shared" si="8"/>
        <v>SERCOM0:3</v>
      </c>
      <c r="Q45" s="18" t="str">
        <f t="shared" si="9"/>
        <v>SERCOM2:3</v>
      </c>
      <c r="R45" s="18" t="str">
        <f t="shared" si="10"/>
        <v>TCC1:1</v>
      </c>
      <c r="S45" s="18" t="str">
        <f t="shared" si="11"/>
        <v>TCC0:3</v>
      </c>
      <c r="T45" s="18" t="str">
        <f t="shared" si="12"/>
        <v>I2S/FS[0]</v>
      </c>
      <c r="U45" s="18" t="str">
        <f t="shared" si="13"/>
        <v>GCLK_IO[5]</v>
      </c>
    </row>
    <row r="46" spans="1:21" x14ac:dyDescent="0.3">
      <c r="A46" s="1">
        <v>7</v>
      </c>
      <c r="B46" t="s">
        <v>404</v>
      </c>
      <c r="C46" t="s">
        <v>312</v>
      </c>
      <c r="D46" s="23" t="s">
        <v>290</v>
      </c>
      <c r="E46" s="15">
        <v>3</v>
      </c>
      <c r="F46" s="5" t="s">
        <v>334</v>
      </c>
      <c r="G46" s="5" t="s">
        <v>335</v>
      </c>
      <c r="H46" s="13" t="str">
        <f t="shared" si="0"/>
        <v>PA02</v>
      </c>
      <c r="I46" s="18" t="str">
        <f t="shared" si="1"/>
        <v>VDDANA</v>
      </c>
      <c r="J46" s="18" t="str">
        <f t="shared" si="2"/>
        <v>EXTINT[2]</v>
      </c>
      <c r="K46" s="18" t="str">
        <f t="shared" si="3"/>
        <v/>
      </c>
      <c r="L46" s="19" t="str">
        <f t="shared" si="4"/>
        <v>AIN[0]</v>
      </c>
      <c r="M46" s="18" t="str">
        <f t="shared" si="5"/>
        <v/>
      </c>
      <c r="N46" s="18" t="str">
        <f t="shared" si="6"/>
        <v>Y[0]</v>
      </c>
      <c r="O46" s="19" t="str">
        <f t="shared" si="7"/>
        <v>VOUT</v>
      </c>
      <c r="P46" s="18" t="str">
        <f t="shared" si="8"/>
        <v/>
      </c>
      <c r="Q46" s="18" t="str">
        <f t="shared" si="9"/>
        <v/>
      </c>
      <c r="R46" s="18" t="str">
        <f t="shared" si="10"/>
        <v/>
      </c>
      <c r="S46" s="18" t="str">
        <f t="shared" si="11"/>
        <v>TCC3:0</v>
      </c>
      <c r="T46" s="18" t="str">
        <f t="shared" si="12"/>
        <v/>
      </c>
      <c r="U46" s="18" t="str">
        <f t="shared" si="13"/>
        <v/>
      </c>
    </row>
    <row r="47" spans="1:21" x14ac:dyDescent="0.3">
      <c r="A47" s="1">
        <v>15</v>
      </c>
      <c r="B47" t="s">
        <v>405</v>
      </c>
      <c r="C47" t="s">
        <v>312</v>
      </c>
      <c r="D47" s="23" t="s">
        <v>5</v>
      </c>
      <c r="E47" s="15">
        <v>7</v>
      </c>
      <c r="F47" s="5" t="s">
        <v>325</v>
      </c>
      <c r="G47" s="5" t="s">
        <v>331</v>
      </c>
      <c r="H47" s="13" t="str">
        <f t="shared" si="0"/>
        <v>PB08</v>
      </c>
      <c r="I47" s="18" t="str">
        <f t="shared" si="1"/>
        <v>VDDANA</v>
      </c>
      <c r="J47" s="18" t="str">
        <f t="shared" si="2"/>
        <v>EXTINT[8]</v>
      </c>
      <c r="K47" s="18" t="str">
        <f t="shared" si="3"/>
        <v/>
      </c>
      <c r="L47" s="19" t="str">
        <f t="shared" si="4"/>
        <v>AIN[2]</v>
      </c>
      <c r="M47" s="18" t="str">
        <f t="shared" si="5"/>
        <v/>
      </c>
      <c r="N47" s="18" t="str">
        <f t="shared" si="6"/>
        <v>Y[14]</v>
      </c>
      <c r="O47" s="18" t="str">
        <f t="shared" si="7"/>
        <v/>
      </c>
      <c r="P47" s="18" t="str">
        <f t="shared" si="8"/>
        <v/>
      </c>
      <c r="Q47" s="18" t="str">
        <f t="shared" si="9"/>
        <v>SERCOM4:0</v>
      </c>
      <c r="R47" s="18" t="str">
        <f t="shared" si="10"/>
        <v>TC4:0</v>
      </c>
      <c r="S47" s="18" t="str">
        <f t="shared" si="11"/>
        <v>TCC3:6</v>
      </c>
      <c r="T47" s="18" t="str">
        <f t="shared" si="12"/>
        <v/>
      </c>
      <c r="U47" s="18" t="str">
        <f t="shared" si="13"/>
        <v/>
      </c>
    </row>
    <row r="48" spans="1:21" x14ac:dyDescent="0.3">
      <c r="A48" s="1">
        <v>16</v>
      </c>
      <c r="B48" t="s">
        <v>406</v>
      </c>
      <c r="C48" t="s">
        <v>312</v>
      </c>
      <c r="D48" s="23" t="s">
        <v>6</v>
      </c>
      <c r="E48" s="15">
        <v>8</v>
      </c>
      <c r="F48" s="5" t="s">
        <v>326</v>
      </c>
      <c r="G48" s="5" t="s">
        <v>331</v>
      </c>
      <c r="H48" s="13" t="str">
        <f t="shared" si="0"/>
        <v>PB09</v>
      </c>
      <c r="I48" s="18" t="str">
        <f t="shared" si="1"/>
        <v>VDDANA</v>
      </c>
      <c r="J48" s="18" t="str">
        <f t="shared" si="2"/>
        <v>EXTINT[9]</v>
      </c>
      <c r="K48" s="18" t="str">
        <f t="shared" si="3"/>
        <v/>
      </c>
      <c r="L48" s="19" t="str">
        <f t="shared" si="4"/>
        <v>AIN[3]</v>
      </c>
      <c r="M48" s="18" t="str">
        <f t="shared" si="5"/>
        <v/>
      </c>
      <c r="N48" s="18" t="str">
        <f t="shared" si="6"/>
        <v>Y[15]</v>
      </c>
      <c r="O48" s="18" t="str">
        <f t="shared" si="7"/>
        <v/>
      </c>
      <c r="P48" s="18" t="str">
        <f t="shared" si="8"/>
        <v/>
      </c>
      <c r="Q48" s="18" t="str">
        <f t="shared" si="9"/>
        <v>SERCOM4:1</v>
      </c>
      <c r="R48" s="18" t="str">
        <f t="shared" si="10"/>
        <v>TC4:1</v>
      </c>
      <c r="S48" s="18" t="str">
        <f t="shared" si="11"/>
        <v>TCC3:7</v>
      </c>
      <c r="T48" s="18" t="str">
        <f t="shared" si="12"/>
        <v/>
      </c>
      <c r="U48" s="18" t="str">
        <f t="shared" si="13"/>
        <v/>
      </c>
    </row>
    <row r="49" spans="1:22" x14ac:dyDescent="0.3">
      <c r="A49" s="1">
        <v>9</v>
      </c>
      <c r="B49" t="s">
        <v>407</v>
      </c>
      <c r="C49" t="s">
        <v>312</v>
      </c>
      <c r="D49" s="23" t="s">
        <v>7</v>
      </c>
      <c r="E49" s="15">
        <v>9</v>
      </c>
      <c r="F49" s="5" t="s">
        <v>327</v>
      </c>
      <c r="G49" s="5" t="s">
        <v>331</v>
      </c>
      <c r="H49" s="13" t="str">
        <f t="shared" si="0"/>
        <v>PA04</v>
      </c>
      <c r="I49" s="18" t="str">
        <f t="shared" si="1"/>
        <v>VDDANA</v>
      </c>
      <c r="J49" s="18" t="str">
        <f t="shared" si="2"/>
        <v>EXTINT[4]</v>
      </c>
      <c r="K49" s="18" t="str">
        <f t="shared" si="3"/>
        <v>ADC/VREFB</v>
      </c>
      <c r="L49" s="19" t="str">
        <f t="shared" si="4"/>
        <v>AIN[4]</v>
      </c>
      <c r="M49" s="18" t="str">
        <f t="shared" si="5"/>
        <v>AIN[0]</v>
      </c>
      <c r="N49" s="18" t="str">
        <f t="shared" si="6"/>
        <v>Y[2]</v>
      </c>
      <c r="O49" s="18" t="str">
        <f t="shared" si="7"/>
        <v/>
      </c>
      <c r="P49" s="18" t="str">
        <f t="shared" si="8"/>
        <v/>
      </c>
      <c r="Q49" s="18" t="str">
        <f t="shared" si="9"/>
        <v>SERCOM0:0</v>
      </c>
      <c r="R49" s="18" t="str">
        <f t="shared" si="10"/>
        <v>TCC0:0</v>
      </c>
      <c r="S49" s="18" t="str">
        <f t="shared" si="11"/>
        <v>TCC3:2</v>
      </c>
      <c r="T49" s="18" t="str">
        <f t="shared" si="12"/>
        <v/>
      </c>
      <c r="U49" s="18" t="str">
        <f t="shared" si="13"/>
        <v/>
      </c>
    </row>
    <row r="50" spans="1:22" x14ac:dyDescent="0.3">
      <c r="A50" s="1">
        <v>10</v>
      </c>
      <c r="B50" t="s">
        <v>408</v>
      </c>
      <c r="C50" t="s">
        <v>312</v>
      </c>
      <c r="D50" s="23" t="s">
        <v>8</v>
      </c>
      <c r="E50" s="15">
        <v>10</v>
      </c>
      <c r="F50" s="5" t="s">
        <v>328</v>
      </c>
      <c r="G50" s="5" t="s">
        <v>331</v>
      </c>
      <c r="H50" s="13" t="str">
        <f t="shared" si="0"/>
        <v>PA05</v>
      </c>
      <c r="I50" s="18" t="str">
        <f t="shared" si="1"/>
        <v>VDDANA</v>
      </c>
      <c r="J50" s="18" t="str">
        <f t="shared" si="2"/>
        <v>EXTINT[5]</v>
      </c>
      <c r="K50" s="18" t="str">
        <f t="shared" si="3"/>
        <v/>
      </c>
      <c r="L50" s="19" t="str">
        <f t="shared" si="4"/>
        <v>AIN[5]</v>
      </c>
      <c r="M50" s="18" t="str">
        <f t="shared" si="5"/>
        <v>AIN[1]</v>
      </c>
      <c r="N50" s="18" t="str">
        <f t="shared" si="6"/>
        <v>Y[3]</v>
      </c>
      <c r="O50" s="18" t="str">
        <f t="shared" si="7"/>
        <v/>
      </c>
      <c r="P50" s="18" t="str">
        <f t="shared" si="8"/>
        <v/>
      </c>
      <c r="Q50" s="18" t="str">
        <f t="shared" si="9"/>
        <v>SERCOM0:1</v>
      </c>
      <c r="R50" s="18" t="str">
        <f t="shared" si="10"/>
        <v>TCC0:1</v>
      </c>
      <c r="S50" s="18" t="str">
        <f t="shared" si="11"/>
        <v>TCC3:3</v>
      </c>
      <c r="T50" s="18" t="str">
        <f t="shared" si="12"/>
        <v/>
      </c>
      <c r="U50" s="18" t="str">
        <f t="shared" si="13"/>
        <v/>
      </c>
    </row>
    <row r="51" spans="1:22" x14ac:dyDescent="0.3">
      <c r="A51" s="1">
        <v>13</v>
      </c>
      <c r="B51" t="s">
        <v>409</v>
      </c>
      <c r="C51" t="s">
        <v>312</v>
      </c>
      <c r="D51" s="23" t="s">
        <v>9</v>
      </c>
      <c r="E51" s="15">
        <v>47</v>
      </c>
      <c r="F51" s="5" t="s">
        <v>329</v>
      </c>
      <c r="G51" s="5" t="s">
        <v>331</v>
      </c>
      <c r="H51" s="13" t="str">
        <f t="shared" si="0"/>
        <v>PB02</v>
      </c>
      <c r="I51" s="18" t="str">
        <f t="shared" si="1"/>
        <v>VDDANA</v>
      </c>
      <c r="J51" s="18" t="str">
        <f t="shared" si="2"/>
        <v>EXTINT[2]</v>
      </c>
      <c r="K51" s="18" t="str">
        <f t="shared" si="3"/>
        <v/>
      </c>
      <c r="L51" s="19" t="str">
        <f t="shared" si="4"/>
        <v>AIN[10]</v>
      </c>
      <c r="M51" s="18" t="str">
        <f t="shared" si="5"/>
        <v/>
      </c>
      <c r="N51" s="18" t="str">
        <f t="shared" si="6"/>
        <v>Y[8]</v>
      </c>
      <c r="O51" s="18" t="str">
        <f t="shared" si="7"/>
        <v/>
      </c>
      <c r="P51" s="18" t="str">
        <f t="shared" si="8"/>
        <v/>
      </c>
      <c r="Q51" s="18" t="str">
        <f t="shared" si="9"/>
        <v>SERCOM5:0</v>
      </c>
      <c r="R51" s="18" t="str">
        <f t="shared" si="10"/>
        <v>TC6:0</v>
      </c>
      <c r="S51" s="18" t="str">
        <f t="shared" si="11"/>
        <v>TCC3:2</v>
      </c>
      <c r="T51" s="18" t="str">
        <f t="shared" si="12"/>
        <v/>
      </c>
      <c r="U51" s="18" t="str">
        <f t="shared" si="13"/>
        <v/>
      </c>
    </row>
    <row r="52" spans="1:22" x14ac:dyDescent="0.3">
      <c r="B52" t="s">
        <v>410</v>
      </c>
      <c r="D52" t="s">
        <v>15</v>
      </c>
    </row>
    <row r="53" spans="1:22" x14ac:dyDescent="0.3">
      <c r="B53" t="s">
        <v>411</v>
      </c>
      <c r="C53" t="s">
        <v>308</v>
      </c>
      <c r="D53" t="s">
        <v>16</v>
      </c>
    </row>
    <row r="54" spans="1:22" x14ac:dyDescent="0.3">
      <c r="B54" t="s">
        <v>412</v>
      </c>
      <c r="C54" t="s">
        <v>308</v>
      </c>
      <c r="D54" t="s">
        <v>12</v>
      </c>
    </row>
    <row r="55" spans="1:22" x14ac:dyDescent="0.3">
      <c r="B55" t="s">
        <v>413</v>
      </c>
      <c r="C55" t="s">
        <v>308</v>
      </c>
      <c r="D55" t="s">
        <v>14</v>
      </c>
    </row>
    <row r="56" spans="1:22" x14ac:dyDescent="0.3">
      <c r="B56" t="s">
        <v>414</v>
      </c>
      <c r="C56" t="s">
        <v>308</v>
      </c>
      <c r="D56" t="s">
        <v>14</v>
      </c>
    </row>
    <row r="57" spans="1:22" x14ac:dyDescent="0.3">
      <c r="B57" t="s">
        <v>415</v>
      </c>
      <c r="C57" t="s">
        <v>309</v>
      </c>
      <c r="D57" t="s">
        <v>11</v>
      </c>
    </row>
    <row r="58" spans="1:22" x14ac:dyDescent="0.3">
      <c r="A58" s="1">
        <v>1</v>
      </c>
      <c r="D58" s="23" t="s">
        <v>340</v>
      </c>
      <c r="E58" s="15">
        <v>40</v>
      </c>
      <c r="F58" s="5" t="s">
        <v>10</v>
      </c>
      <c r="H58" s="13" t="str">
        <f t="shared" ref="H58:H80" si="14">VLOOKUP($E58,SAMD21G,2,FALSE)</f>
        <v>RESET~</v>
      </c>
      <c r="I58" s="18" t="str">
        <f t="shared" ref="I58:I80" si="15">IF(VLOOKUP($E58,SAMD21G,3,FALSE)=0,"",VLOOKUP($E58,SAMD21G,3,FALSE))</f>
        <v/>
      </c>
      <c r="J58" s="18" t="str">
        <f t="shared" ref="J58:J80" si="16">IF(VLOOKUP($E58,SAMD21G,4,FALSE)=0,"",VLOOKUP($E58,SAMD21G,4,FALSE))</f>
        <v/>
      </c>
      <c r="K58" s="18" t="str">
        <f t="shared" ref="K58:K80" si="17">IF(VLOOKUP($E58,SAMD21G,5,FALSE)=0,"",VLOOKUP($E58,SAMD21G,5,FALSE))</f>
        <v/>
      </c>
      <c r="L58" s="18" t="str">
        <f t="shared" ref="L58:L80" si="18">IF(VLOOKUP($E58,SAMD21G,6,FALSE)=0,"",VLOOKUP($E58,SAMD21G,6,FALSE))</f>
        <v/>
      </c>
      <c r="M58" s="18" t="str">
        <f t="shared" ref="M58:M80" si="19">IF(VLOOKUP($E58,SAMD21G,7,FALSE)=0,"",VLOOKUP($E58,SAMD21G,7,FALSE))</f>
        <v/>
      </c>
      <c r="N58" s="18" t="str">
        <f t="shared" ref="N58:N80" si="20">IF(VLOOKUP($E58,SAMD21G,8,FALSE)=0,"",VLOOKUP($E58,SAMD21G,8,FALSE))</f>
        <v/>
      </c>
      <c r="O58" s="18" t="str">
        <f t="shared" ref="O58:O80" si="21">IF(VLOOKUP($E58,SAMD21G,9,FALSE)=0,"",VLOOKUP($E58,SAMD21G,9,FALSE))</f>
        <v/>
      </c>
      <c r="P58" s="18" t="str">
        <f t="shared" ref="P58:P80" si="22">IF(VLOOKUP($E58,SAMD21G,10,FALSE)=0,"",VLOOKUP($E58,SAMD21G,10,FALSE))</f>
        <v/>
      </c>
      <c r="Q58" s="18" t="str">
        <f t="shared" ref="Q58:Q80" si="23">IF(VLOOKUP($E58,SAMD21G,11,FALSE)=0,"",VLOOKUP($E58,SAMD21G,11,FALSE))</f>
        <v/>
      </c>
      <c r="R58" s="18" t="str">
        <f t="shared" ref="R58:R80" si="24">IF(VLOOKUP($E58,SAMD21G,12,FALSE)=0,"",VLOOKUP($E58,SAMD21G,12,FALSE))</f>
        <v/>
      </c>
      <c r="S58" s="18" t="str">
        <f t="shared" ref="S58:S80" si="25">IF(VLOOKUP($E58,SAMD21G,13,FALSE)=0,"",VLOOKUP($E58,SAMD21G,13,FALSE))</f>
        <v/>
      </c>
      <c r="T58" s="18" t="str">
        <f t="shared" ref="T58:T80" si="26">IF(VLOOKUP($E58,SAMD21G,14,FALSE)=0,"",VLOOKUP($E58,SAMD21G,14,FALSE))</f>
        <v/>
      </c>
      <c r="U58" s="18" t="str">
        <f t="shared" ref="U58:U80" si="27">IF(VLOOKUP($E58,SAMD21G,15,FALSE)=0,"",VLOOKUP($E58,SAMD21G,15,FALSE))</f>
        <v/>
      </c>
    </row>
    <row r="59" spans="1:22" x14ac:dyDescent="0.3">
      <c r="A59" s="1">
        <v>2</v>
      </c>
      <c r="D59" s="23" t="s">
        <v>16</v>
      </c>
      <c r="E59" s="15">
        <v>44</v>
      </c>
      <c r="F59" s="5" t="s">
        <v>308</v>
      </c>
      <c r="H59" s="13" t="str">
        <f t="shared" si="14"/>
        <v>VDDIN</v>
      </c>
      <c r="I59" s="18" t="str">
        <f t="shared" si="15"/>
        <v/>
      </c>
      <c r="J59" s="18" t="str">
        <f t="shared" si="16"/>
        <v/>
      </c>
      <c r="K59" s="18" t="str">
        <f t="shared" si="17"/>
        <v/>
      </c>
      <c r="L59" s="18" t="str">
        <f t="shared" si="18"/>
        <v/>
      </c>
      <c r="M59" s="18" t="str">
        <f t="shared" si="19"/>
        <v/>
      </c>
      <c r="N59" s="18" t="str">
        <f t="shared" si="20"/>
        <v/>
      </c>
      <c r="O59" s="18" t="str">
        <f t="shared" si="21"/>
        <v/>
      </c>
      <c r="P59" s="18" t="str">
        <f t="shared" si="22"/>
        <v/>
      </c>
      <c r="Q59" s="18" t="str">
        <f t="shared" si="23"/>
        <v/>
      </c>
      <c r="R59" s="18" t="str">
        <f t="shared" si="24"/>
        <v/>
      </c>
      <c r="S59" s="18" t="str">
        <f t="shared" si="25"/>
        <v/>
      </c>
      <c r="T59" s="18" t="str">
        <f t="shared" si="26"/>
        <v/>
      </c>
      <c r="U59" s="18" t="str">
        <f t="shared" si="27"/>
        <v/>
      </c>
    </row>
    <row r="60" spans="1:22" x14ac:dyDescent="0.3">
      <c r="A60" s="1">
        <v>3</v>
      </c>
      <c r="D60" s="23" t="s">
        <v>339</v>
      </c>
      <c r="E60" s="15">
        <v>43</v>
      </c>
      <c r="F60" s="5" t="s">
        <v>308</v>
      </c>
      <c r="H60" s="13" t="str">
        <f t="shared" si="14"/>
        <v>VDDCORE</v>
      </c>
      <c r="I60" s="18" t="str">
        <f t="shared" si="15"/>
        <v/>
      </c>
      <c r="J60" s="18" t="str">
        <f t="shared" si="16"/>
        <v/>
      </c>
      <c r="K60" s="18" t="str">
        <f t="shared" si="17"/>
        <v/>
      </c>
      <c r="L60" s="18" t="str">
        <f t="shared" si="18"/>
        <v/>
      </c>
      <c r="M60" s="18" t="str">
        <f t="shared" si="19"/>
        <v/>
      </c>
      <c r="N60" s="18" t="str">
        <f t="shared" si="20"/>
        <v/>
      </c>
      <c r="O60" s="18" t="str">
        <f t="shared" si="21"/>
        <v/>
      </c>
      <c r="P60" s="18" t="str">
        <f t="shared" si="22"/>
        <v/>
      </c>
      <c r="Q60" s="18" t="str">
        <f t="shared" si="23"/>
        <v/>
      </c>
      <c r="R60" s="18" t="str">
        <f t="shared" si="24"/>
        <v/>
      </c>
      <c r="S60" s="18" t="str">
        <f t="shared" si="25"/>
        <v/>
      </c>
      <c r="T60" s="18" t="str">
        <f t="shared" si="26"/>
        <v/>
      </c>
      <c r="U60" s="18" t="str">
        <f t="shared" si="27"/>
        <v/>
      </c>
    </row>
    <row r="61" spans="1:22" x14ac:dyDescent="0.3">
      <c r="A61" s="1">
        <v>4</v>
      </c>
      <c r="D61" s="24" t="s">
        <v>338</v>
      </c>
      <c r="E61" s="15">
        <v>6</v>
      </c>
      <c r="F61" s="5" t="s">
        <v>308</v>
      </c>
      <c r="H61" s="13" t="str">
        <f t="shared" si="14"/>
        <v>VDDANA</v>
      </c>
      <c r="I61" s="18" t="str">
        <f t="shared" si="15"/>
        <v/>
      </c>
      <c r="J61" s="18" t="str">
        <f t="shared" si="16"/>
        <v/>
      </c>
      <c r="K61" s="18" t="str">
        <f t="shared" si="17"/>
        <v/>
      </c>
      <c r="L61" s="18" t="str">
        <f t="shared" si="18"/>
        <v/>
      </c>
      <c r="M61" s="18" t="str">
        <f t="shared" si="19"/>
        <v/>
      </c>
      <c r="N61" s="18" t="str">
        <f t="shared" si="20"/>
        <v/>
      </c>
      <c r="O61" s="18" t="str">
        <f t="shared" si="21"/>
        <v/>
      </c>
      <c r="P61" s="18" t="str">
        <f t="shared" si="22"/>
        <v/>
      </c>
      <c r="Q61" s="18" t="str">
        <f t="shared" si="23"/>
        <v/>
      </c>
      <c r="R61" s="18" t="str">
        <f t="shared" si="24"/>
        <v/>
      </c>
      <c r="S61" s="18" t="str">
        <f t="shared" si="25"/>
        <v/>
      </c>
      <c r="T61" s="18" t="str">
        <f t="shared" si="26"/>
        <v/>
      </c>
      <c r="U61" s="18" t="str">
        <f t="shared" si="27"/>
        <v/>
      </c>
    </row>
    <row r="62" spans="1:22" x14ac:dyDescent="0.3">
      <c r="A62" s="1">
        <v>5</v>
      </c>
      <c r="C62" t="s">
        <v>108</v>
      </c>
      <c r="D62" s="23" t="s">
        <v>90</v>
      </c>
      <c r="E62" s="15">
        <v>1</v>
      </c>
      <c r="F62" s="5" t="s">
        <v>316</v>
      </c>
      <c r="H62" s="5" t="str">
        <f t="shared" si="14"/>
        <v>PA00</v>
      </c>
      <c r="I62" s="18" t="str">
        <f t="shared" si="15"/>
        <v>VDDANA</v>
      </c>
      <c r="J62" s="18" t="str">
        <f t="shared" si="16"/>
        <v>EXTINT[0]</v>
      </c>
      <c r="K62" s="18" t="str">
        <f t="shared" si="17"/>
        <v/>
      </c>
      <c r="L62" s="18" t="str">
        <f t="shared" si="18"/>
        <v/>
      </c>
      <c r="M62" s="18" t="str">
        <f t="shared" si="19"/>
        <v/>
      </c>
      <c r="N62" s="18" t="str">
        <f t="shared" si="20"/>
        <v/>
      </c>
      <c r="O62" s="18" t="str">
        <f t="shared" si="21"/>
        <v/>
      </c>
      <c r="P62" s="18" t="str">
        <f t="shared" si="22"/>
        <v/>
      </c>
      <c r="Q62" s="18" t="str">
        <f t="shared" si="23"/>
        <v>SERCOM1:0</v>
      </c>
      <c r="R62" s="18" t="str">
        <f t="shared" si="24"/>
        <v>TCC2:0</v>
      </c>
      <c r="S62" s="18" t="str">
        <f t="shared" si="25"/>
        <v/>
      </c>
      <c r="T62" s="18" t="str">
        <f t="shared" si="26"/>
        <v/>
      </c>
      <c r="U62" s="18" t="str">
        <f t="shared" si="27"/>
        <v/>
      </c>
      <c r="V62" s="21" t="s">
        <v>316</v>
      </c>
    </row>
    <row r="63" spans="1:22" x14ac:dyDescent="0.3">
      <c r="A63" s="1">
        <v>6</v>
      </c>
      <c r="C63" t="s">
        <v>108</v>
      </c>
      <c r="D63" s="23" t="s">
        <v>90</v>
      </c>
      <c r="E63" s="15">
        <v>2</v>
      </c>
      <c r="F63" s="5" t="s">
        <v>317</v>
      </c>
      <c r="H63" s="5" t="str">
        <f t="shared" si="14"/>
        <v>PA01</v>
      </c>
      <c r="I63" s="18" t="str">
        <f t="shared" si="15"/>
        <v>VDDANA</v>
      </c>
      <c r="J63" s="18" t="str">
        <f t="shared" si="16"/>
        <v>EXTINT[1]</v>
      </c>
      <c r="K63" s="18" t="str">
        <f t="shared" si="17"/>
        <v/>
      </c>
      <c r="L63" s="18" t="str">
        <f t="shared" si="18"/>
        <v/>
      </c>
      <c r="M63" s="18" t="str">
        <f t="shared" si="19"/>
        <v/>
      </c>
      <c r="N63" s="18" t="str">
        <f t="shared" si="20"/>
        <v/>
      </c>
      <c r="O63" s="18" t="str">
        <f t="shared" si="21"/>
        <v/>
      </c>
      <c r="P63" s="18" t="str">
        <f t="shared" si="22"/>
        <v/>
      </c>
      <c r="Q63" s="18" t="str">
        <f t="shared" si="23"/>
        <v>SERCOM1:1</v>
      </c>
      <c r="R63" s="18" t="str">
        <f t="shared" si="24"/>
        <v>TCC2:1</v>
      </c>
      <c r="S63" s="18" t="str">
        <f t="shared" si="25"/>
        <v/>
      </c>
      <c r="T63" s="18" t="str">
        <f t="shared" si="26"/>
        <v/>
      </c>
      <c r="U63" s="18" t="str">
        <f t="shared" si="27"/>
        <v/>
      </c>
      <c r="V63" s="21" t="s">
        <v>317</v>
      </c>
    </row>
    <row r="64" spans="1:22" x14ac:dyDescent="0.3">
      <c r="A64" s="1">
        <v>14</v>
      </c>
      <c r="C64" t="s">
        <v>305</v>
      </c>
      <c r="D64" s="23" t="s">
        <v>41</v>
      </c>
      <c r="E64" s="15">
        <v>48</v>
      </c>
      <c r="F64" s="5" t="s">
        <v>251</v>
      </c>
      <c r="H64" s="5" t="str">
        <f t="shared" si="14"/>
        <v>PB03</v>
      </c>
      <c r="I64" s="18" t="str">
        <f t="shared" si="15"/>
        <v>VDDANA</v>
      </c>
      <c r="J64" s="18" t="str">
        <f t="shared" si="16"/>
        <v>EXTINT[3]</v>
      </c>
      <c r="K64" s="18" t="str">
        <f t="shared" si="17"/>
        <v/>
      </c>
      <c r="L64" s="18" t="str">
        <f t="shared" si="18"/>
        <v>AIN[11]</v>
      </c>
      <c r="M64" s="18" t="str">
        <f t="shared" si="19"/>
        <v/>
      </c>
      <c r="N64" s="18" t="str">
        <f t="shared" si="20"/>
        <v>Y[9]</v>
      </c>
      <c r="O64" s="18" t="str">
        <f t="shared" si="21"/>
        <v/>
      </c>
      <c r="P64" s="18" t="str">
        <f t="shared" si="22"/>
        <v/>
      </c>
      <c r="Q64" s="19" t="str">
        <f t="shared" si="23"/>
        <v>SERCOM5:1</v>
      </c>
      <c r="R64" s="18" t="str">
        <f t="shared" si="24"/>
        <v>TC6:1</v>
      </c>
      <c r="S64" s="18" t="str">
        <f t="shared" si="25"/>
        <v>TCC3:3</v>
      </c>
      <c r="T64" s="18" t="str">
        <f t="shared" si="26"/>
        <v/>
      </c>
      <c r="U64" s="18" t="str">
        <f t="shared" si="27"/>
        <v/>
      </c>
    </row>
    <row r="65" spans="1:21" x14ac:dyDescent="0.3">
      <c r="A65" s="1">
        <v>17</v>
      </c>
      <c r="D65" s="23" t="s">
        <v>14</v>
      </c>
      <c r="E65" s="15">
        <v>5</v>
      </c>
      <c r="F65" s="5" t="s">
        <v>308</v>
      </c>
      <c r="H65" s="13" t="str">
        <f t="shared" si="14"/>
        <v>GNDANA</v>
      </c>
      <c r="I65" s="18" t="str">
        <f t="shared" si="15"/>
        <v/>
      </c>
      <c r="J65" s="18" t="str">
        <f t="shared" si="16"/>
        <v/>
      </c>
      <c r="K65" s="18" t="str">
        <f t="shared" si="17"/>
        <v/>
      </c>
      <c r="L65" s="18" t="str">
        <f t="shared" si="18"/>
        <v/>
      </c>
      <c r="M65" s="18" t="str">
        <f t="shared" si="19"/>
        <v/>
      </c>
      <c r="N65" s="18" t="str">
        <f t="shared" si="20"/>
        <v/>
      </c>
      <c r="O65" s="18" t="str">
        <f t="shared" si="21"/>
        <v/>
      </c>
      <c r="P65" s="18" t="str">
        <f t="shared" si="22"/>
        <v/>
      </c>
      <c r="Q65" s="18" t="str">
        <f t="shared" si="23"/>
        <v/>
      </c>
      <c r="R65" s="18" t="str">
        <f t="shared" si="24"/>
        <v/>
      </c>
      <c r="S65" s="18" t="str">
        <f t="shared" si="25"/>
        <v/>
      </c>
      <c r="T65" s="18" t="str">
        <f t="shared" si="26"/>
        <v/>
      </c>
      <c r="U65" s="18" t="str">
        <f t="shared" si="27"/>
        <v/>
      </c>
    </row>
    <row r="66" spans="1:21" x14ac:dyDescent="0.3">
      <c r="A66" s="1">
        <v>18</v>
      </c>
      <c r="D66" s="23" t="s">
        <v>14</v>
      </c>
      <c r="E66" s="15">
        <v>18</v>
      </c>
      <c r="F66" s="5" t="s">
        <v>308</v>
      </c>
      <c r="H66" s="13" t="str">
        <f t="shared" si="14"/>
        <v>GND</v>
      </c>
      <c r="I66" s="18" t="str">
        <f t="shared" si="15"/>
        <v/>
      </c>
      <c r="J66" s="18" t="str">
        <f t="shared" si="16"/>
        <v/>
      </c>
      <c r="K66" s="18" t="str">
        <f t="shared" si="17"/>
        <v/>
      </c>
      <c r="L66" s="18" t="str">
        <f t="shared" si="18"/>
        <v/>
      </c>
      <c r="M66" s="18" t="str">
        <f t="shared" si="19"/>
        <v/>
      </c>
      <c r="N66" s="18" t="str">
        <f t="shared" si="20"/>
        <v/>
      </c>
      <c r="O66" s="18" t="str">
        <f t="shared" si="21"/>
        <v/>
      </c>
      <c r="P66" s="18" t="str">
        <f t="shared" si="22"/>
        <v/>
      </c>
      <c r="Q66" s="18" t="str">
        <f t="shared" si="23"/>
        <v/>
      </c>
      <c r="R66" s="18" t="str">
        <f t="shared" si="24"/>
        <v/>
      </c>
      <c r="S66" s="18" t="str">
        <f t="shared" si="25"/>
        <v/>
      </c>
      <c r="T66" s="18" t="str">
        <f t="shared" si="26"/>
        <v/>
      </c>
      <c r="U66" s="18" t="str">
        <f t="shared" si="27"/>
        <v/>
      </c>
    </row>
    <row r="67" spans="1:21" x14ac:dyDescent="0.3">
      <c r="A67" s="1">
        <v>19</v>
      </c>
      <c r="D67" s="23" t="s">
        <v>14</v>
      </c>
      <c r="E67" s="15">
        <v>35</v>
      </c>
      <c r="F67" s="5" t="s">
        <v>308</v>
      </c>
      <c r="H67" s="13" t="str">
        <f t="shared" si="14"/>
        <v>GND</v>
      </c>
      <c r="I67" s="18" t="str">
        <f t="shared" si="15"/>
        <v/>
      </c>
      <c r="J67" s="18" t="str">
        <f t="shared" si="16"/>
        <v/>
      </c>
      <c r="K67" s="18" t="str">
        <f t="shared" si="17"/>
        <v/>
      </c>
      <c r="L67" s="18" t="str">
        <f t="shared" si="18"/>
        <v/>
      </c>
      <c r="M67" s="18" t="str">
        <f t="shared" si="19"/>
        <v/>
      </c>
      <c r="N67" s="18" t="str">
        <f t="shared" si="20"/>
        <v/>
      </c>
      <c r="O67" s="18" t="str">
        <f t="shared" si="21"/>
        <v/>
      </c>
      <c r="P67" s="18" t="str">
        <f t="shared" si="22"/>
        <v/>
      </c>
      <c r="Q67" s="18" t="str">
        <f t="shared" si="23"/>
        <v/>
      </c>
      <c r="R67" s="18" t="str">
        <f t="shared" si="24"/>
        <v/>
      </c>
      <c r="S67" s="18" t="str">
        <f t="shared" si="25"/>
        <v/>
      </c>
      <c r="T67" s="18" t="str">
        <f t="shared" si="26"/>
        <v/>
      </c>
      <c r="U67" s="18" t="str">
        <f t="shared" si="27"/>
        <v/>
      </c>
    </row>
    <row r="68" spans="1:21" x14ac:dyDescent="0.3">
      <c r="A68" s="1">
        <v>20</v>
      </c>
      <c r="D68" s="23" t="s">
        <v>14</v>
      </c>
      <c r="E68" s="15">
        <v>42</v>
      </c>
      <c r="F68" s="5" t="s">
        <v>308</v>
      </c>
      <c r="H68" s="13" t="str">
        <f t="shared" si="14"/>
        <v>GND</v>
      </c>
      <c r="I68" s="18" t="str">
        <f t="shared" si="15"/>
        <v/>
      </c>
      <c r="J68" s="18" t="str">
        <f t="shared" si="16"/>
        <v/>
      </c>
      <c r="K68" s="18" t="str">
        <f t="shared" si="17"/>
        <v/>
      </c>
      <c r="L68" s="18" t="str">
        <f t="shared" si="18"/>
        <v/>
      </c>
      <c r="M68" s="18" t="str">
        <f t="shared" si="19"/>
        <v/>
      </c>
      <c r="N68" s="18" t="str">
        <f t="shared" si="20"/>
        <v/>
      </c>
      <c r="O68" s="18" t="str">
        <f t="shared" si="21"/>
        <v/>
      </c>
      <c r="P68" s="18" t="str">
        <f t="shared" si="22"/>
        <v/>
      </c>
      <c r="Q68" s="18" t="str">
        <f t="shared" si="23"/>
        <v/>
      </c>
      <c r="R68" s="18" t="str">
        <f t="shared" si="24"/>
        <v/>
      </c>
      <c r="S68" s="18" t="str">
        <f t="shared" si="25"/>
        <v/>
      </c>
      <c r="T68" s="18" t="str">
        <f t="shared" si="26"/>
        <v/>
      </c>
      <c r="U68" s="18" t="str">
        <f t="shared" si="27"/>
        <v/>
      </c>
    </row>
    <row r="69" spans="1:21" x14ac:dyDescent="0.3">
      <c r="A69" s="1">
        <v>21</v>
      </c>
      <c r="D69" s="23" t="s">
        <v>16</v>
      </c>
      <c r="E69" s="15">
        <v>17</v>
      </c>
      <c r="F69" s="5" t="s">
        <v>308</v>
      </c>
      <c r="H69" s="13" t="str">
        <f t="shared" si="14"/>
        <v>VDDIO</v>
      </c>
      <c r="I69" s="18" t="str">
        <f t="shared" si="15"/>
        <v/>
      </c>
      <c r="J69" s="18" t="str">
        <f t="shared" si="16"/>
        <v/>
      </c>
      <c r="K69" s="18" t="str">
        <f t="shared" si="17"/>
        <v/>
      </c>
      <c r="L69" s="18" t="str">
        <f t="shared" si="18"/>
        <v/>
      </c>
      <c r="M69" s="18" t="str">
        <f t="shared" si="19"/>
        <v/>
      </c>
      <c r="N69" s="18" t="str">
        <f t="shared" si="20"/>
        <v/>
      </c>
      <c r="O69" s="18" t="str">
        <f t="shared" si="21"/>
        <v/>
      </c>
      <c r="P69" s="18" t="str">
        <f t="shared" si="22"/>
        <v/>
      </c>
      <c r="Q69" s="18" t="str">
        <f t="shared" si="23"/>
        <v/>
      </c>
      <c r="R69" s="18" t="str">
        <f t="shared" si="24"/>
        <v/>
      </c>
      <c r="S69" s="18" t="str">
        <f t="shared" si="25"/>
        <v/>
      </c>
      <c r="T69" s="18" t="str">
        <f t="shared" si="26"/>
        <v/>
      </c>
      <c r="U69" s="18" t="str">
        <f t="shared" si="27"/>
        <v/>
      </c>
    </row>
    <row r="70" spans="1:21" x14ac:dyDescent="0.3">
      <c r="A70" s="1">
        <v>22</v>
      </c>
      <c r="D70" s="23" t="s">
        <v>16</v>
      </c>
      <c r="E70" s="15">
        <v>36</v>
      </c>
      <c r="F70" s="5" t="s">
        <v>308</v>
      </c>
      <c r="H70" s="13" t="str">
        <f t="shared" si="14"/>
        <v>VDDIO</v>
      </c>
      <c r="I70" s="18" t="str">
        <f t="shared" si="15"/>
        <v/>
      </c>
      <c r="J70" s="18" t="str">
        <f t="shared" si="16"/>
        <v/>
      </c>
      <c r="K70" s="18" t="str">
        <f t="shared" si="17"/>
        <v/>
      </c>
      <c r="L70" s="18" t="str">
        <f t="shared" si="18"/>
        <v/>
      </c>
      <c r="M70" s="18" t="str">
        <f t="shared" si="19"/>
        <v/>
      </c>
      <c r="N70" s="18" t="str">
        <f t="shared" si="20"/>
        <v/>
      </c>
      <c r="O70" s="18" t="str">
        <f t="shared" si="21"/>
        <v/>
      </c>
      <c r="P70" s="18" t="str">
        <f t="shared" si="22"/>
        <v/>
      </c>
      <c r="Q70" s="18" t="str">
        <f t="shared" si="23"/>
        <v/>
      </c>
      <c r="R70" s="18" t="str">
        <f t="shared" si="24"/>
        <v/>
      </c>
      <c r="S70" s="18" t="str">
        <f t="shared" si="25"/>
        <v/>
      </c>
      <c r="T70" s="18" t="str">
        <f t="shared" si="26"/>
        <v/>
      </c>
      <c r="U70" s="18" t="str">
        <f t="shared" si="27"/>
        <v/>
      </c>
    </row>
    <row r="71" spans="1:21" x14ac:dyDescent="0.3">
      <c r="A71" s="1">
        <v>27</v>
      </c>
      <c r="C71" t="s">
        <v>307</v>
      </c>
      <c r="D71" s="23" t="s">
        <v>52</v>
      </c>
      <c r="E71" s="15">
        <v>21</v>
      </c>
      <c r="F71" s="5" t="s">
        <v>321</v>
      </c>
      <c r="H71" s="5" t="str">
        <f t="shared" si="14"/>
        <v>PA12</v>
      </c>
      <c r="I71" s="18" t="str">
        <f t="shared" si="15"/>
        <v>VDDIO</v>
      </c>
      <c r="J71" s="18" t="str">
        <f t="shared" si="16"/>
        <v>EXTINT[12]</v>
      </c>
      <c r="K71" s="18" t="str">
        <f t="shared" si="17"/>
        <v/>
      </c>
      <c r="L71" s="18" t="str">
        <f t="shared" si="18"/>
        <v/>
      </c>
      <c r="M71" s="18" t="str">
        <f t="shared" si="19"/>
        <v/>
      </c>
      <c r="N71" s="18" t="str">
        <f t="shared" si="20"/>
        <v/>
      </c>
      <c r="O71" s="18" t="str">
        <f t="shared" si="21"/>
        <v/>
      </c>
      <c r="P71" s="18" t="str">
        <f t="shared" si="22"/>
        <v>SERCOM2:0</v>
      </c>
      <c r="Q71" s="19" t="str">
        <f t="shared" si="23"/>
        <v>SERCOM4:0</v>
      </c>
      <c r="R71" s="18" t="str">
        <f t="shared" si="24"/>
        <v>TCC2:0</v>
      </c>
      <c r="S71" s="18" t="str">
        <f t="shared" si="25"/>
        <v>TCC0:6</v>
      </c>
      <c r="T71" s="18" t="str">
        <f t="shared" si="26"/>
        <v/>
      </c>
      <c r="U71" s="18" t="str">
        <f t="shared" si="27"/>
        <v>AC/CMP[0]</v>
      </c>
    </row>
    <row r="72" spans="1:21" x14ac:dyDescent="0.3">
      <c r="A72" s="1">
        <v>28</v>
      </c>
      <c r="C72" t="s">
        <v>305</v>
      </c>
      <c r="D72" s="23" t="s">
        <v>54</v>
      </c>
      <c r="E72" s="15">
        <v>22</v>
      </c>
      <c r="F72" s="5" t="s">
        <v>55</v>
      </c>
      <c r="H72" s="13" t="str">
        <f t="shared" si="14"/>
        <v>PA13</v>
      </c>
      <c r="I72" s="18" t="str">
        <f t="shared" si="15"/>
        <v>VDDIO</v>
      </c>
      <c r="J72" s="18" t="str">
        <f t="shared" si="16"/>
        <v>EXTINT[13]</v>
      </c>
      <c r="K72" s="18" t="str">
        <f t="shared" si="17"/>
        <v/>
      </c>
      <c r="L72" s="18" t="str">
        <f t="shared" si="18"/>
        <v/>
      </c>
      <c r="M72" s="18" t="str">
        <f t="shared" si="19"/>
        <v/>
      </c>
      <c r="N72" s="18" t="str">
        <f t="shared" si="20"/>
        <v/>
      </c>
      <c r="O72" s="18" t="str">
        <f t="shared" si="21"/>
        <v/>
      </c>
      <c r="P72" s="20" t="str">
        <f t="shared" si="22"/>
        <v>SERCOM2:1</v>
      </c>
      <c r="Q72" s="18" t="str">
        <f t="shared" si="23"/>
        <v>SERCOM4:1</v>
      </c>
      <c r="R72" s="18" t="str">
        <f t="shared" si="24"/>
        <v>TCC2:1</v>
      </c>
      <c r="S72" s="18" t="str">
        <f t="shared" si="25"/>
        <v>TCC0:7</v>
      </c>
      <c r="T72" s="18" t="str">
        <f t="shared" si="26"/>
        <v/>
      </c>
      <c r="U72" s="18" t="str">
        <f t="shared" si="27"/>
        <v>AC/CMP[1]</v>
      </c>
    </row>
    <row r="73" spans="1:21" x14ac:dyDescent="0.3">
      <c r="A73" s="1">
        <v>41</v>
      </c>
      <c r="C73" t="s">
        <v>303</v>
      </c>
      <c r="D73" s="23" t="s">
        <v>67</v>
      </c>
      <c r="E73" s="15">
        <v>39</v>
      </c>
      <c r="F73" s="5" t="s">
        <v>74</v>
      </c>
      <c r="G73" s="5" t="s">
        <v>333</v>
      </c>
      <c r="H73" s="13" t="str">
        <f t="shared" si="14"/>
        <v>PA27</v>
      </c>
      <c r="I73" s="18" t="str">
        <f t="shared" si="15"/>
        <v>VDDIO</v>
      </c>
      <c r="J73" s="18" t="str">
        <f t="shared" si="16"/>
        <v>EXTINT[15]</v>
      </c>
      <c r="K73" s="18" t="str">
        <f t="shared" si="17"/>
        <v/>
      </c>
      <c r="L73" s="18" t="str">
        <f t="shared" si="18"/>
        <v/>
      </c>
      <c r="M73" s="18" t="str">
        <f t="shared" si="19"/>
        <v/>
      </c>
      <c r="N73" s="18" t="str">
        <f t="shared" si="20"/>
        <v/>
      </c>
      <c r="O73" s="18" t="str">
        <f t="shared" si="21"/>
        <v/>
      </c>
      <c r="P73" s="18" t="str">
        <f t="shared" si="22"/>
        <v/>
      </c>
      <c r="Q73" s="18" t="str">
        <f t="shared" si="23"/>
        <v/>
      </c>
      <c r="R73" s="18" t="str">
        <f t="shared" si="24"/>
        <v>TCC3:6</v>
      </c>
      <c r="S73" s="18" t="str">
        <f t="shared" si="25"/>
        <v/>
      </c>
      <c r="T73" s="18" t="str">
        <f t="shared" si="26"/>
        <v/>
      </c>
      <c r="U73" s="18" t="str">
        <f t="shared" si="27"/>
        <v>GCLK_IO[0]</v>
      </c>
    </row>
    <row r="74" spans="1:21" x14ac:dyDescent="0.3">
      <c r="A74" s="1">
        <v>42</v>
      </c>
      <c r="C74" t="s">
        <v>103</v>
      </c>
      <c r="D74" s="23" t="s">
        <v>76</v>
      </c>
      <c r="E74" s="15">
        <v>41</v>
      </c>
      <c r="F74" s="5" t="s">
        <v>75</v>
      </c>
      <c r="G74" s="5" t="s">
        <v>333</v>
      </c>
      <c r="H74" s="13" t="str">
        <f t="shared" si="14"/>
        <v>PA28</v>
      </c>
      <c r="I74" s="18" t="str">
        <f t="shared" si="15"/>
        <v>VDDIO</v>
      </c>
      <c r="J74" s="18" t="str">
        <f t="shared" si="16"/>
        <v>EXTINT[8]</v>
      </c>
      <c r="K74" s="18" t="str">
        <f t="shared" si="17"/>
        <v/>
      </c>
      <c r="L74" s="18" t="str">
        <f t="shared" si="18"/>
        <v/>
      </c>
      <c r="M74" s="18" t="str">
        <f t="shared" si="19"/>
        <v/>
      </c>
      <c r="N74" s="18" t="str">
        <f t="shared" si="20"/>
        <v/>
      </c>
      <c r="O74" s="18" t="str">
        <f t="shared" si="21"/>
        <v/>
      </c>
      <c r="P74" s="18" t="str">
        <f t="shared" si="22"/>
        <v/>
      </c>
      <c r="Q74" s="18" t="str">
        <f t="shared" si="23"/>
        <v/>
      </c>
      <c r="R74" s="18" t="str">
        <f t="shared" si="24"/>
        <v>TCC3:7</v>
      </c>
      <c r="S74" s="18" t="str">
        <f t="shared" si="25"/>
        <v/>
      </c>
      <c r="T74" s="18" t="str">
        <f t="shared" si="26"/>
        <v/>
      </c>
      <c r="U74" s="18" t="str">
        <f t="shared" si="27"/>
        <v>GCLK_IO[0]</v>
      </c>
    </row>
    <row r="75" spans="1:21" x14ac:dyDescent="0.3">
      <c r="A75" s="1">
        <v>43</v>
      </c>
      <c r="D75" s="23" t="s">
        <v>77</v>
      </c>
      <c r="E75" s="15">
        <v>45</v>
      </c>
      <c r="F75" s="5" t="s">
        <v>78</v>
      </c>
      <c r="G75" s="5" t="s">
        <v>333</v>
      </c>
      <c r="H75" s="13" t="str">
        <f t="shared" si="14"/>
        <v>PA30</v>
      </c>
      <c r="I75" s="18" t="str">
        <f t="shared" si="15"/>
        <v>VDDIO</v>
      </c>
      <c r="J75" s="18" t="str">
        <f t="shared" si="16"/>
        <v>EXTINT[10]</v>
      </c>
      <c r="K75" s="18" t="str">
        <f t="shared" si="17"/>
        <v/>
      </c>
      <c r="L75" s="18" t="str">
        <f t="shared" si="18"/>
        <v/>
      </c>
      <c r="M75" s="18" t="str">
        <f t="shared" si="19"/>
        <v/>
      </c>
      <c r="N75" s="18" t="str">
        <f t="shared" si="20"/>
        <v/>
      </c>
      <c r="O75" s="18" t="str">
        <f t="shared" si="21"/>
        <v/>
      </c>
      <c r="P75" s="18" t="str">
        <f t="shared" si="22"/>
        <v/>
      </c>
      <c r="Q75" s="18" t="str">
        <f t="shared" si="23"/>
        <v>SERCOM1:2</v>
      </c>
      <c r="R75" s="18" t="str">
        <f t="shared" si="24"/>
        <v>TCC1:0</v>
      </c>
      <c r="S75" s="18" t="str">
        <f t="shared" si="25"/>
        <v>TCC3:4</v>
      </c>
      <c r="T75" s="19" t="str">
        <f t="shared" si="26"/>
        <v>SWCLK</v>
      </c>
      <c r="U75" s="18" t="str">
        <f t="shared" si="27"/>
        <v>GCLK_IO[0]</v>
      </c>
    </row>
    <row r="76" spans="1:21" x14ac:dyDescent="0.3">
      <c r="A76" s="1">
        <v>44</v>
      </c>
      <c r="C76" t="s">
        <v>304</v>
      </c>
      <c r="D76" s="23" t="s">
        <v>30</v>
      </c>
      <c r="E76" s="15">
        <v>46</v>
      </c>
      <c r="F76" s="5" t="s">
        <v>80</v>
      </c>
      <c r="G76" s="5" t="s">
        <v>333</v>
      </c>
      <c r="H76" s="13" t="str">
        <f t="shared" si="14"/>
        <v>PA31</v>
      </c>
      <c r="I76" s="18" t="str">
        <f t="shared" si="15"/>
        <v>VDDIO</v>
      </c>
      <c r="J76" s="18" t="str">
        <f t="shared" si="16"/>
        <v>EXTINT[11]</v>
      </c>
      <c r="K76" s="18" t="str">
        <f t="shared" si="17"/>
        <v/>
      </c>
      <c r="L76" s="18" t="str">
        <f t="shared" si="18"/>
        <v/>
      </c>
      <c r="M76" s="18" t="str">
        <f t="shared" si="19"/>
        <v/>
      </c>
      <c r="N76" s="18" t="str">
        <f t="shared" si="20"/>
        <v/>
      </c>
      <c r="O76" s="18" t="str">
        <f t="shared" si="21"/>
        <v/>
      </c>
      <c r="P76" s="18" t="str">
        <f t="shared" si="22"/>
        <v/>
      </c>
      <c r="Q76" s="18" t="str">
        <f t="shared" si="23"/>
        <v>SERCOM1:3</v>
      </c>
      <c r="R76" s="18" t="str">
        <f t="shared" si="24"/>
        <v>TCC1:1</v>
      </c>
      <c r="S76" s="18" t="str">
        <f t="shared" si="25"/>
        <v>TCC3:5</v>
      </c>
      <c r="T76" s="19" t="str">
        <f t="shared" si="26"/>
        <v>SWDIO(5)</v>
      </c>
      <c r="U76" s="18" t="str">
        <f t="shared" si="27"/>
        <v/>
      </c>
    </row>
    <row r="77" spans="1:21" x14ac:dyDescent="0.3">
      <c r="A77" s="1">
        <v>45</v>
      </c>
      <c r="C77" t="s">
        <v>307</v>
      </c>
      <c r="D77" s="23" t="s">
        <v>51</v>
      </c>
      <c r="E77" s="15">
        <v>19</v>
      </c>
      <c r="F77" s="5" t="s">
        <v>320</v>
      </c>
      <c r="H77" s="5" t="str">
        <f t="shared" si="14"/>
        <v>PB10</v>
      </c>
      <c r="I77" s="18" t="str">
        <f t="shared" si="15"/>
        <v>VDDIO</v>
      </c>
      <c r="J77" s="18" t="str">
        <f t="shared" si="16"/>
        <v>EXTINT[10]</v>
      </c>
      <c r="K77" s="18" t="str">
        <f t="shared" si="17"/>
        <v/>
      </c>
      <c r="L77" s="18" t="str">
        <f t="shared" si="18"/>
        <v/>
      </c>
      <c r="M77" s="18" t="str">
        <f t="shared" si="19"/>
        <v/>
      </c>
      <c r="N77" s="18" t="str">
        <f t="shared" si="20"/>
        <v/>
      </c>
      <c r="O77" s="18" t="str">
        <f t="shared" si="21"/>
        <v/>
      </c>
      <c r="P77" s="18" t="str">
        <f t="shared" si="22"/>
        <v/>
      </c>
      <c r="Q77" s="19" t="str">
        <f t="shared" si="23"/>
        <v>SERCOM4:2</v>
      </c>
      <c r="R77" s="18" t="str">
        <f t="shared" si="24"/>
        <v>TC5:0</v>
      </c>
      <c r="S77" s="18" t="str">
        <f t="shared" si="25"/>
        <v>TCC0:4</v>
      </c>
      <c r="T77" s="18" t="str">
        <f t="shared" si="26"/>
        <v>I2S/MCK[1]</v>
      </c>
      <c r="U77" s="18" t="str">
        <f t="shared" si="27"/>
        <v>GCLK_IO[4]</v>
      </c>
    </row>
    <row r="78" spans="1:21" x14ac:dyDescent="0.3">
      <c r="A78" s="1">
        <v>46</v>
      </c>
      <c r="C78" t="s">
        <v>307</v>
      </c>
      <c r="D78" s="23" t="s">
        <v>53</v>
      </c>
      <c r="E78" s="15">
        <v>20</v>
      </c>
      <c r="F78" s="5" t="s">
        <v>322</v>
      </c>
      <c r="H78" s="5" t="str">
        <f t="shared" si="14"/>
        <v>PB11</v>
      </c>
      <c r="I78" s="18" t="str">
        <f t="shared" si="15"/>
        <v>VDDIO</v>
      </c>
      <c r="J78" s="18" t="str">
        <f t="shared" si="16"/>
        <v>EXTINT[11]</v>
      </c>
      <c r="K78" s="18" t="str">
        <f t="shared" si="17"/>
        <v/>
      </c>
      <c r="L78" s="18" t="str">
        <f t="shared" si="18"/>
        <v/>
      </c>
      <c r="M78" s="18" t="str">
        <f t="shared" si="19"/>
        <v/>
      </c>
      <c r="N78" s="18" t="str">
        <f t="shared" si="20"/>
        <v/>
      </c>
      <c r="O78" s="18" t="str">
        <f t="shared" si="21"/>
        <v/>
      </c>
      <c r="P78" s="18" t="str">
        <f t="shared" si="22"/>
        <v/>
      </c>
      <c r="Q78" s="19" t="str">
        <f t="shared" si="23"/>
        <v>SERCOM4:3</v>
      </c>
      <c r="R78" s="18" t="str">
        <f t="shared" si="24"/>
        <v>TC5:1</v>
      </c>
      <c r="S78" s="18" t="str">
        <f t="shared" si="25"/>
        <v>TCC0:5</v>
      </c>
      <c r="T78" s="18" t="str">
        <f t="shared" si="26"/>
        <v>I2S/SCK[1]</v>
      </c>
      <c r="U78" s="18" t="str">
        <f t="shared" si="27"/>
        <v>GCLK_IO[5]</v>
      </c>
    </row>
    <row r="79" spans="1:21" x14ac:dyDescent="0.3">
      <c r="A79" s="1">
        <v>47</v>
      </c>
      <c r="C79" t="s">
        <v>305</v>
      </c>
      <c r="D79" s="23" t="s">
        <v>83</v>
      </c>
      <c r="E79" s="15">
        <v>37</v>
      </c>
      <c r="F79" s="5" t="s">
        <v>248</v>
      </c>
      <c r="H79" s="5" t="str">
        <f t="shared" si="14"/>
        <v>PB22</v>
      </c>
      <c r="I79" s="18" t="str">
        <f t="shared" si="15"/>
        <v>VDDIO</v>
      </c>
      <c r="J79" s="18" t="str">
        <f t="shared" si="16"/>
        <v>EXTINT[6]</v>
      </c>
      <c r="K79" s="18" t="str">
        <f t="shared" si="17"/>
        <v/>
      </c>
      <c r="L79" s="18" t="str">
        <f t="shared" si="18"/>
        <v/>
      </c>
      <c r="M79" s="18" t="str">
        <f t="shared" si="19"/>
        <v/>
      </c>
      <c r="N79" s="18" t="str">
        <f t="shared" si="20"/>
        <v/>
      </c>
      <c r="O79" s="18" t="str">
        <f t="shared" si="21"/>
        <v/>
      </c>
      <c r="P79" s="18" t="str">
        <f t="shared" si="22"/>
        <v/>
      </c>
      <c r="Q79" s="19" t="str">
        <f t="shared" si="23"/>
        <v>SERCOM5:2</v>
      </c>
      <c r="R79" s="18" t="str">
        <f t="shared" si="24"/>
        <v>TC7:0</v>
      </c>
      <c r="S79" s="18" t="str">
        <f t="shared" si="25"/>
        <v>TCC3:0</v>
      </c>
      <c r="T79" s="18" t="str">
        <f t="shared" si="26"/>
        <v/>
      </c>
      <c r="U79" s="18" t="str">
        <f t="shared" si="27"/>
        <v>GCLK_IO[0]</v>
      </c>
    </row>
    <row r="80" spans="1:21" x14ac:dyDescent="0.3">
      <c r="A80" s="1">
        <v>48</v>
      </c>
      <c r="C80" t="s">
        <v>305</v>
      </c>
      <c r="D80" s="23" t="s">
        <v>85</v>
      </c>
      <c r="E80" s="15">
        <v>38</v>
      </c>
      <c r="F80" s="5" t="s">
        <v>249</v>
      </c>
      <c r="H80" s="5" t="str">
        <f t="shared" si="14"/>
        <v>PB23</v>
      </c>
      <c r="I80" s="18" t="str">
        <f t="shared" si="15"/>
        <v>VDDIO</v>
      </c>
      <c r="J80" s="18" t="str">
        <f t="shared" si="16"/>
        <v>EXTINT[7]</v>
      </c>
      <c r="K80" s="18" t="str">
        <f t="shared" si="17"/>
        <v/>
      </c>
      <c r="L80" s="18" t="str">
        <f t="shared" si="18"/>
        <v/>
      </c>
      <c r="M80" s="18" t="str">
        <f t="shared" si="19"/>
        <v/>
      </c>
      <c r="N80" s="18" t="str">
        <f t="shared" si="20"/>
        <v/>
      </c>
      <c r="O80" s="18" t="str">
        <f t="shared" si="21"/>
        <v/>
      </c>
      <c r="P80" s="18" t="str">
        <f t="shared" si="22"/>
        <v/>
      </c>
      <c r="Q80" s="19" t="str">
        <f t="shared" si="23"/>
        <v>SERCOM5:3</v>
      </c>
      <c r="R80" s="18" t="str">
        <f t="shared" si="24"/>
        <v>TC7:1</v>
      </c>
      <c r="S80" s="18" t="str">
        <f t="shared" si="25"/>
        <v>TCC3:1</v>
      </c>
      <c r="T80" s="18" t="str">
        <f t="shared" si="26"/>
        <v/>
      </c>
      <c r="U80" s="18" t="str">
        <f t="shared" si="27"/>
        <v>GCLK_IO[1]</v>
      </c>
    </row>
    <row r="81" spans="2:4" x14ac:dyDescent="0.3">
      <c r="C81" t="s">
        <v>342</v>
      </c>
      <c r="D81" s="23" t="s">
        <v>341</v>
      </c>
    </row>
    <row r="82" spans="2:4" x14ac:dyDescent="0.3">
      <c r="C82" t="s">
        <v>344</v>
      </c>
      <c r="D82" s="23" t="s">
        <v>343</v>
      </c>
    </row>
    <row r="83" spans="2:4" x14ac:dyDescent="0.3">
      <c r="C83" t="s">
        <v>345</v>
      </c>
      <c r="D83" s="23" t="s">
        <v>67</v>
      </c>
    </row>
    <row r="84" spans="2:4" x14ac:dyDescent="0.3">
      <c r="C84" t="s">
        <v>346</v>
      </c>
      <c r="D84" s="23" t="s">
        <v>30</v>
      </c>
    </row>
    <row r="85" spans="2:4" x14ac:dyDescent="0.3">
      <c r="B85" t="s">
        <v>348</v>
      </c>
      <c r="C85" t="s">
        <v>349</v>
      </c>
      <c r="D85" s="23" t="s">
        <v>349</v>
      </c>
    </row>
    <row r="86" spans="2:4" x14ac:dyDescent="0.3">
      <c r="B86" t="s">
        <v>348</v>
      </c>
      <c r="C86" t="s">
        <v>5</v>
      </c>
      <c r="D86" s="23" t="s">
        <v>5</v>
      </c>
    </row>
    <row r="87" spans="2:4" x14ac:dyDescent="0.3">
      <c r="B87" t="s">
        <v>348</v>
      </c>
      <c r="C87" t="s">
        <v>6</v>
      </c>
      <c r="D87" s="23" t="s">
        <v>6</v>
      </c>
    </row>
    <row r="88" spans="2:4" x14ac:dyDescent="0.3">
      <c r="B88" t="s">
        <v>348</v>
      </c>
      <c r="C88" t="s">
        <v>7</v>
      </c>
      <c r="D88" s="23" t="s">
        <v>7</v>
      </c>
    </row>
    <row r="89" spans="2:4" x14ac:dyDescent="0.3">
      <c r="B89" t="s">
        <v>348</v>
      </c>
      <c r="C89" t="s">
        <v>8</v>
      </c>
      <c r="D89" s="23" t="s">
        <v>8</v>
      </c>
    </row>
    <row r="90" spans="2:4" x14ac:dyDescent="0.3">
      <c r="B90" t="s">
        <v>348</v>
      </c>
      <c r="C90" t="s">
        <v>9</v>
      </c>
      <c r="D90" s="23" t="s">
        <v>9</v>
      </c>
    </row>
    <row r="91" spans="2:4" x14ac:dyDescent="0.3">
      <c r="B91" t="s">
        <v>348</v>
      </c>
      <c r="C91" t="s">
        <v>350</v>
      </c>
      <c r="D91" s="23" t="s">
        <v>16</v>
      </c>
    </row>
    <row r="92" spans="2:4" x14ac:dyDescent="0.3">
      <c r="B92" t="s">
        <v>348</v>
      </c>
      <c r="C92" t="s">
        <v>351</v>
      </c>
      <c r="D92" s="23" t="s">
        <v>351</v>
      </c>
    </row>
    <row r="93" spans="2:4" x14ac:dyDescent="0.3">
      <c r="B93" t="s">
        <v>348</v>
      </c>
      <c r="C93" t="s">
        <v>11</v>
      </c>
      <c r="D93" s="23" t="s">
        <v>11</v>
      </c>
    </row>
    <row r="94" spans="2:4" x14ac:dyDescent="0.3">
      <c r="B94" t="s">
        <v>348</v>
      </c>
      <c r="C94" t="s">
        <v>12</v>
      </c>
      <c r="D94" s="23" t="s">
        <v>352</v>
      </c>
    </row>
    <row r="95" spans="2:4" x14ac:dyDescent="0.3">
      <c r="B95" t="s">
        <v>348</v>
      </c>
      <c r="C95" t="s">
        <v>16</v>
      </c>
      <c r="D95" s="23" t="s">
        <v>16</v>
      </c>
    </row>
    <row r="96" spans="2:4" x14ac:dyDescent="0.3">
      <c r="B96" t="s">
        <v>348</v>
      </c>
      <c r="C96" t="s">
        <v>13</v>
      </c>
      <c r="D96" s="23" t="s">
        <v>13</v>
      </c>
    </row>
    <row r="97" spans="2:4" x14ac:dyDescent="0.3">
      <c r="B97" t="s">
        <v>348</v>
      </c>
      <c r="C97" t="s">
        <v>14</v>
      </c>
      <c r="D97" s="23" t="s">
        <v>14</v>
      </c>
    </row>
    <row r="98" spans="2:4" x14ac:dyDescent="0.3">
      <c r="B98" t="s">
        <v>348</v>
      </c>
      <c r="C98" t="s">
        <v>14</v>
      </c>
      <c r="D98" s="23" t="s">
        <v>14</v>
      </c>
    </row>
    <row r="99" spans="2:4" x14ac:dyDescent="0.3">
      <c r="B99" t="s">
        <v>348</v>
      </c>
      <c r="C99" t="s">
        <v>14</v>
      </c>
      <c r="D99" s="23" t="s">
        <v>14</v>
      </c>
    </row>
    <row r="100" spans="2:4" x14ac:dyDescent="0.3">
      <c r="B100" t="s">
        <v>348</v>
      </c>
      <c r="C100" t="s">
        <v>21</v>
      </c>
      <c r="D100" s="23" t="s">
        <v>16</v>
      </c>
    </row>
    <row r="101" spans="2:4" x14ac:dyDescent="0.3">
      <c r="B101" t="s">
        <v>348</v>
      </c>
      <c r="C101" t="s">
        <v>353</v>
      </c>
      <c r="D101" s="23" t="s">
        <v>353</v>
      </c>
    </row>
    <row r="102" spans="2:4" x14ac:dyDescent="0.3">
      <c r="B102" t="s">
        <v>348</v>
      </c>
      <c r="C102" t="s">
        <v>354</v>
      </c>
      <c r="D102" s="23" t="s">
        <v>354</v>
      </c>
    </row>
    <row r="103" spans="2:4" x14ac:dyDescent="0.3">
      <c r="B103" t="s">
        <v>348</v>
      </c>
      <c r="C103" t="s">
        <v>355</v>
      </c>
      <c r="D103" s="23" t="s">
        <v>355</v>
      </c>
    </row>
    <row r="104" spans="2:4" x14ac:dyDescent="0.3">
      <c r="B104" t="s">
        <v>348</v>
      </c>
      <c r="C104" t="s">
        <v>351</v>
      </c>
      <c r="D104" s="23" t="s">
        <v>351</v>
      </c>
    </row>
    <row r="105" spans="2:4" x14ac:dyDescent="0.3">
      <c r="B105" t="s">
        <v>348</v>
      </c>
      <c r="C105" t="s">
        <v>14</v>
      </c>
      <c r="D105" s="23" t="s">
        <v>14</v>
      </c>
    </row>
    <row r="106" spans="2:4" x14ac:dyDescent="0.3">
      <c r="B106" t="s">
        <v>348</v>
      </c>
      <c r="C106" t="s">
        <v>356</v>
      </c>
      <c r="D106" s="23" t="s">
        <v>367</v>
      </c>
    </row>
    <row r="107" spans="2:4" x14ac:dyDescent="0.3">
      <c r="B107" t="s">
        <v>348</v>
      </c>
      <c r="C107" t="s">
        <v>357</v>
      </c>
      <c r="D107" s="23" t="s">
        <v>368</v>
      </c>
    </row>
    <row r="108" spans="2:4" x14ac:dyDescent="0.3">
      <c r="B108" t="s">
        <v>348</v>
      </c>
      <c r="C108" t="s">
        <v>0</v>
      </c>
      <c r="D108" s="23" t="s">
        <v>0</v>
      </c>
    </row>
    <row r="109" spans="2:4" x14ac:dyDescent="0.3">
      <c r="B109" t="s">
        <v>348</v>
      </c>
      <c r="C109" t="s">
        <v>358</v>
      </c>
      <c r="D109" s="23" t="s">
        <v>358</v>
      </c>
    </row>
    <row r="110" spans="2:4" x14ac:dyDescent="0.3">
      <c r="B110" t="s">
        <v>348</v>
      </c>
      <c r="C110" t="s">
        <v>359</v>
      </c>
      <c r="D110" s="23" t="s">
        <v>359</v>
      </c>
    </row>
    <row r="111" spans="2:4" x14ac:dyDescent="0.3">
      <c r="B111" t="s">
        <v>348</v>
      </c>
      <c r="C111" t="s">
        <v>360</v>
      </c>
      <c r="D111" s="23" t="s">
        <v>360</v>
      </c>
    </row>
    <row r="112" spans="2:4" x14ac:dyDescent="0.3">
      <c r="B112" t="s">
        <v>348</v>
      </c>
      <c r="C112" t="s">
        <v>361</v>
      </c>
      <c r="D112" s="23" t="s">
        <v>361</v>
      </c>
    </row>
    <row r="113" spans="2:4" x14ac:dyDescent="0.3">
      <c r="B113" t="s">
        <v>348</v>
      </c>
      <c r="C113" t="s">
        <v>1</v>
      </c>
      <c r="D113" s="23" t="s">
        <v>1</v>
      </c>
    </row>
    <row r="114" spans="2:4" x14ac:dyDescent="0.3">
      <c r="B114" t="s">
        <v>348</v>
      </c>
      <c r="C114" t="s">
        <v>362</v>
      </c>
      <c r="D114" s="23" t="s">
        <v>362</v>
      </c>
    </row>
    <row r="115" spans="2:4" x14ac:dyDescent="0.3">
      <c r="B115" t="s">
        <v>348</v>
      </c>
      <c r="C115" t="s">
        <v>363</v>
      </c>
      <c r="D115" s="23" t="s">
        <v>363</v>
      </c>
    </row>
    <row r="116" spans="2:4" x14ac:dyDescent="0.3">
      <c r="B116" t="s">
        <v>348</v>
      </c>
      <c r="C116" t="s">
        <v>364</v>
      </c>
      <c r="D116" s="23" t="s">
        <v>364</v>
      </c>
    </row>
    <row r="117" spans="2:4" x14ac:dyDescent="0.3">
      <c r="B117" t="s">
        <v>348</v>
      </c>
      <c r="C117" t="s">
        <v>365</v>
      </c>
      <c r="D117" s="23" t="s">
        <v>365</v>
      </c>
    </row>
    <row r="118" spans="2:4" x14ac:dyDescent="0.3">
      <c r="B118" t="s">
        <v>348</v>
      </c>
      <c r="C118" t="s">
        <v>366</v>
      </c>
      <c r="D118" s="23" t="s">
        <v>366</v>
      </c>
    </row>
    <row r="119" spans="2:4" x14ac:dyDescent="0.3">
      <c r="B119" t="s">
        <v>348</v>
      </c>
      <c r="C119" t="s">
        <v>343</v>
      </c>
      <c r="D119" s="23" t="s">
        <v>343</v>
      </c>
    </row>
    <row r="120" spans="2:4" x14ac:dyDescent="0.3">
      <c r="B120" t="s">
        <v>348</v>
      </c>
      <c r="C120" t="s">
        <v>2</v>
      </c>
      <c r="D120" s="23" t="s">
        <v>2</v>
      </c>
    </row>
    <row r="121" spans="2:4" x14ac:dyDescent="0.3">
      <c r="B121" t="s">
        <v>348</v>
      </c>
      <c r="C121" t="s">
        <v>3</v>
      </c>
      <c r="D121" s="23" t="s">
        <v>355</v>
      </c>
    </row>
    <row r="122" spans="2:4" x14ac:dyDescent="0.3">
      <c r="C122" t="s">
        <v>369</v>
      </c>
      <c r="D122" s="23" t="s">
        <v>16</v>
      </c>
    </row>
    <row r="123" spans="2:4" x14ac:dyDescent="0.3">
      <c r="C123" t="s">
        <v>370</v>
      </c>
      <c r="D123" s="23" t="s">
        <v>77</v>
      </c>
    </row>
    <row r="124" spans="2:4" x14ac:dyDescent="0.3">
      <c r="C124" t="s">
        <v>372</v>
      </c>
      <c r="D124" s="23" t="s">
        <v>347</v>
      </c>
    </row>
    <row r="125" spans="2:4" x14ac:dyDescent="0.3">
      <c r="C125" t="s">
        <v>371</v>
      </c>
      <c r="D125" s="23" t="s">
        <v>14</v>
      </c>
    </row>
    <row r="126" spans="2:4" x14ac:dyDescent="0.3">
      <c r="B126" t="s">
        <v>373</v>
      </c>
      <c r="C126" t="s">
        <v>383</v>
      </c>
      <c r="D126" s="23" t="s">
        <v>54</v>
      </c>
    </row>
    <row r="127" spans="2:4" x14ac:dyDescent="0.3">
      <c r="B127" t="s">
        <v>374</v>
      </c>
      <c r="C127" t="s">
        <v>381</v>
      </c>
      <c r="D127" s="23" t="s">
        <v>41</v>
      </c>
    </row>
    <row r="128" spans="2:4" x14ac:dyDescent="0.3">
      <c r="B128" t="s">
        <v>375</v>
      </c>
      <c r="C128" t="s">
        <v>384</v>
      </c>
      <c r="D128" s="23" t="s">
        <v>16</v>
      </c>
    </row>
    <row r="129" spans="2:4" x14ac:dyDescent="0.3">
      <c r="B129" t="s">
        <v>376</v>
      </c>
      <c r="C129" t="s">
        <v>14</v>
      </c>
      <c r="D129" s="23" t="s">
        <v>14</v>
      </c>
    </row>
    <row r="130" spans="2:4" x14ac:dyDescent="0.3">
      <c r="B130" t="s">
        <v>377</v>
      </c>
      <c r="C130" t="s">
        <v>382</v>
      </c>
      <c r="D130" s="23" t="s">
        <v>83</v>
      </c>
    </row>
    <row r="131" spans="2:4" x14ac:dyDescent="0.3">
      <c r="B131" t="s">
        <v>378</v>
      </c>
      <c r="C131" t="s">
        <v>355</v>
      </c>
      <c r="D131" s="23" t="s">
        <v>85</v>
      </c>
    </row>
    <row r="132" spans="2:4" x14ac:dyDescent="0.3">
      <c r="B132" t="s">
        <v>379</v>
      </c>
      <c r="C132" t="s">
        <v>385</v>
      </c>
      <c r="D132" s="23" t="s">
        <v>16</v>
      </c>
    </row>
    <row r="133" spans="2:4" x14ac:dyDescent="0.3">
      <c r="B133" t="s">
        <v>380</v>
      </c>
      <c r="C133" t="s">
        <v>21</v>
      </c>
      <c r="D133" s="23" t="s">
        <v>16</v>
      </c>
    </row>
    <row r="134" spans="2:4" x14ac:dyDescent="0.3">
      <c r="B134" t="s">
        <v>416</v>
      </c>
      <c r="C134" t="s">
        <v>314</v>
      </c>
      <c r="D134" s="23" t="s">
        <v>10</v>
      </c>
    </row>
    <row r="135" spans="2:4" x14ac:dyDescent="0.3">
      <c r="B135" t="s">
        <v>417</v>
      </c>
      <c r="C135" t="s">
        <v>308</v>
      </c>
      <c r="D135" s="23" t="s">
        <v>11</v>
      </c>
    </row>
    <row r="136" spans="2:4" x14ac:dyDescent="0.3">
      <c r="B136" t="s">
        <v>418</v>
      </c>
      <c r="C136" t="s">
        <v>419</v>
      </c>
      <c r="D136" s="23" t="s">
        <v>14</v>
      </c>
    </row>
  </sheetData>
  <sortState xmlns:xlrd2="http://schemas.microsoft.com/office/spreadsheetml/2017/richdata2" ref="A2:V81">
    <sortCondition ref="B2:B81"/>
    <sortCondition ref="A2:A81"/>
    <sortCondition ref="F2:F81"/>
    <sortCondition ref="C2:C8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27FC-B279-4C3C-A8C1-114C991E146F}">
  <dimension ref="A1:O49"/>
  <sheetViews>
    <sheetView workbookViewId="0">
      <pane xSplit="1" ySplit="1" topLeftCell="B47" activePane="bottomRight" state="frozen"/>
      <selection pane="topRight" activeCell="D1" sqref="D1"/>
      <selection pane="bottomLeft" activeCell="A2" sqref="A2"/>
      <selection pane="bottomRight" activeCell="I4" sqref="I4"/>
    </sheetView>
  </sheetViews>
  <sheetFormatPr defaultRowHeight="14.4" x14ac:dyDescent="0.3"/>
  <cols>
    <col min="1" max="1" width="4.88671875" style="7" customWidth="1"/>
    <col min="2" max="2" width="10.21875" customWidth="1"/>
    <col min="4" max="4" width="14.33203125" customWidth="1"/>
    <col min="5" max="5" width="12.77734375" customWidth="1"/>
    <col min="6" max="6" width="9.21875" customWidth="1"/>
    <col min="7" max="7" width="7.5546875" customWidth="1"/>
    <col min="10" max="11" width="14.5546875" customWidth="1"/>
    <col min="12" max="12" width="9.6640625" customWidth="1"/>
    <col min="13" max="13" width="9.44140625" customWidth="1"/>
    <col min="14" max="14" width="15.6640625" customWidth="1"/>
    <col min="15" max="15" width="25.88671875" customWidth="1"/>
  </cols>
  <sheetData>
    <row r="1" spans="1:15" s="4" customFormat="1" x14ac:dyDescent="0.3">
      <c r="A1" s="6" t="s">
        <v>93</v>
      </c>
      <c r="B1" s="4" t="s">
        <v>200</v>
      </c>
      <c r="C1" s="4" t="s">
        <v>121</v>
      </c>
      <c r="D1" s="4" t="s">
        <v>201</v>
      </c>
      <c r="E1" s="4" t="s">
        <v>15</v>
      </c>
      <c r="F1" s="4" t="s">
        <v>202</v>
      </c>
      <c r="G1" s="4" t="s">
        <v>207</v>
      </c>
      <c r="H1" s="4" t="s">
        <v>114</v>
      </c>
      <c r="I1" s="4" t="s">
        <v>45</v>
      </c>
      <c r="J1" s="4" t="s">
        <v>104</v>
      </c>
      <c r="K1" s="4" t="s">
        <v>203</v>
      </c>
      <c r="L1" s="4" t="s">
        <v>204</v>
      </c>
      <c r="M1" s="4" t="s">
        <v>105</v>
      </c>
      <c r="N1" s="4" t="s">
        <v>205</v>
      </c>
      <c r="O1" s="4" t="s">
        <v>208</v>
      </c>
    </row>
    <row r="2" spans="1:15" x14ac:dyDescent="0.3">
      <c r="A2" s="7">
        <v>1</v>
      </c>
      <c r="B2" t="s">
        <v>91</v>
      </c>
      <c r="C2" t="s">
        <v>122</v>
      </c>
      <c r="D2" t="s">
        <v>129</v>
      </c>
      <c r="K2" t="s">
        <v>228</v>
      </c>
      <c r="L2" t="s">
        <v>258</v>
      </c>
    </row>
    <row r="3" spans="1:15" x14ac:dyDescent="0.3">
      <c r="A3" s="7">
        <v>2</v>
      </c>
      <c r="B3" t="s">
        <v>92</v>
      </c>
      <c r="C3" t="s">
        <v>122</v>
      </c>
      <c r="D3" t="s">
        <v>130</v>
      </c>
      <c r="K3" t="s">
        <v>229</v>
      </c>
      <c r="L3" t="s">
        <v>259</v>
      </c>
    </row>
    <row r="4" spans="1:15" x14ac:dyDescent="0.3">
      <c r="A4" s="7">
        <v>3</v>
      </c>
      <c r="B4" t="s">
        <v>32</v>
      </c>
      <c r="C4" t="s">
        <v>122</v>
      </c>
      <c r="D4" t="s">
        <v>131</v>
      </c>
      <c r="F4" t="s">
        <v>132</v>
      </c>
      <c r="H4" t="s">
        <v>133</v>
      </c>
      <c r="I4" t="s">
        <v>134</v>
      </c>
      <c r="M4" t="s">
        <v>260</v>
      </c>
    </row>
    <row r="5" spans="1:15" x14ac:dyDescent="0.3">
      <c r="A5" s="7">
        <v>4</v>
      </c>
      <c r="B5" t="s">
        <v>35</v>
      </c>
      <c r="C5" t="s">
        <v>122</v>
      </c>
      <c r="D5" t="s">
        <v>135</v>
      </c>
      <c r="E5" t="s">
        <v>206</v>
      </c>
      <c r="F5" t="s">
        <v>136</v>
      </c>
      <c r="H5" t="s">
        <v>137</v>
      </c>
      <c r="M5" t="s">
        <v>261</v>
      </c>
    </row>
    <row r="6" spans="1:15" x14ac:dyDescent="0.3">
      <c r="A6" s="7">
        <v>5</v>
      </c>
      <c r="B6" t="s">
        <v>95</v>
      </c>
    </row>
    <row r="7" spans="1:15" x14ac:dyDescent="0.3">
      <c r="A7" s="7">
        <v>6</v>
      </c>
      <c r="B7" t="s">
        <v>122</v>
      </c>
    </row>
    <row r="8" spans="1:15" x14ac:dyDescent="0.3">
      <c r="A8" s="7">
        <v>7</v>
      </c>
      <c r="B8" t="s">
        <v>43</v>
      </c>
      <c r="C8" t="s">
        <v>122</v>
      </c>
      <c r="D8" t="s">
        <v>142</v>
      </c>
      <c r="F8" t="s">
        <v>143</v>
      </c>
      <c r="H8" t="s">
        <v>144</v>
      </c>
      <c r="K8" t="s">
        <v>230</v>
      </c>
      <c r="L8" t="s">
        <v>262</v>
      </c>
      <c r="M8" t="s">
        <v>263</v>
      </c>
    </row>
    <row r="9" spans="1:15" x14ac:dyDescent="0.3">
      <c r="A9" s="7">
        <v>8</v>
      </c>
      <c r="B9" t="s">
        <v>44</v>
      </c>
      <c r="C9" t="s">
        <v>122</v>
      </c>
      <c r="D9" t="s">
        <v>145</v>
      </c>
      <c r="F9" t="s">
        <v>146</v>
      </c>
      <c r="H9" t="s">
        <v>147</v>
      </c>
      <c r="K9" t="s">
        <v>231</v>
      </c>
      <c r="L9" t="s">
        <v>264</v>
      </c>
      <c r="M9" t="s">
        <v>265</v>
      </c>
    </row>
    <row r="10" spans="1:15" x14ac:dyDescent="0.3">
      <c r="A10" s="7">
        <v>9</v>
      </c>
      <c r="B10" t="s">
        <v>36</v>
      </c>
      <c r="C10" t="s">
        <v>122</v>
      </c>
      <c r="D10" t="s">
        <v>138</v>
      </c>
      <c r="E10" t="s">
        <v>148</v>
      </c>
      <c r="F10" t="s">
        <v>149</v>
      </c>
      <c r="G10" t="s">
        <v>132</v>
      </c>
      <c r="H10" t="s">
        <v>150</v>
      </c>
      <c r="K10" t="s">
        <v>232</v>
      </c>
      <c r="L10" t="s">
        <v>266</v>
      </c>
      <c r="M10" t="s">
        <v>267</v>
      </c>
    </row>
    <row r="11" spans="1:15" x14ac:dyDescent="0.3">
      <c r="A11" s="7">
        <v>10</v>
      </c>
      <c r="B11" t="s">
        <v>37</v>
      </c>
      <c r="C11" t="s">
        <v>122</v>
      </c>
      <c r="D11" t="s">
        <v>139</v>
      </c>
      <c r="F11" t="s">
        <v>151</v>
      </c>
      <c r="G11" t="s">
        <v>136</v>
      </c>
      <c r="H11" t="s">
        <v>152</v>
      </c>
      <c r="K11" t="s">
        <v>233</v>
      </c>
      <c r="L11" t="s">
        <v>268</v>
      </c>
      <c r="M11" t="s">
        <v>269</v>
      </c>
    </row>
    <row r="12" spans="1:15" x14ac:dyDescent="0.3">
      <c r="A12" s="7">
        <v>11</v>
      </c>
      <c r="B12" t="s">
        <v>38</v>
      </c>
      <c r="C12" t="s">
        <v>122</v>
      </c>
      <c r="D12" t="s">
        <v>140</v>
      </c>
      <c r="F12" t="s">
        <v>153</v>
      </c>
      <c r="G12" t="s">
        <v>143</v>
      </c>
      <c r="H12" t="s">
        <v>154</v>
      </c>
      <c r="K12" t="s">
        <v>234</v>
      </c>
      <c r="L12" t="s">
        <v>270</v>
      </c>
      <c r="M12" t="s">
        <v>271</v>
      </c>
    </row>
    <row r="13" spans="1:15" x14ac:dyDescent="0.3">
      <c r="A13" s="7">
        <v>12</v>
      </c>
      <c r="B13" t="s">
        <v>39</v>
      </c>
      <c r="C13" t="s">
        <v>122</v>
      </c>
      <c r="D13" t="s">
        <v>141</v>
      </c>
      <c r="F13" t="s">
        <v>155</v>
      </c>
      <c r="G13" t="s">
        <v>146</v>
      </c>
      <c r="H13" t="s">
        <v>156</v>
      </c>
      <c r="K13" t="s">
        <v>235</v>
      </c>
      <c r="L13" t="s">
        <v>272</v>
      </c>
      <c r="M13" t="s">
        <v>273</v>
      </c>
      <c r="N13" t="s">
        <v>125</v>
      </c>
    </row>
    <row r="14" spans="1:15" x14ac:dyDescent="0.3">
      <c r="A14" s="7">
        <v>13</v>
      </c>
      <c r="B14" t="s">
        <v>46</v>
      </c>
      <c r="C14" t="s">
        <v>96</v>
      </c>
      <c r="D14" t="s">
        <v>124</v>
      </c>
      <c r="F14" t="s">
        <v>157</v>
      </c>
      <c r="H14" t="s">
        <v>158</v>
      </c>
      <c r="J14" t="s">
        <v>232</v>
      </c>
      <c r="K14" t="s">
        <v>236</v>
      </c>
      <c r="L14" t="s">
        <v>266</v>
      </c>
      <c r="M14" t="s">
        <v>274</v>
      </c>
      <c r="N14" t="s">
        <v>126</v>
      </c>
    </row>
    <row r="15" spans="1:15" x14ac:dyDescent="0.3">
      <c r="A15" s="7">
        <v>14</v>
      </c>
      <c r="B15" t="s">
        <v>47</v>
      </c>
      <c r="C15" t="s">
        <v>96</v>
      </c>
      <c r="D15" t="s">
        <v>145</v>
      </c>
      <c r="F15" t="s">
        <v>159</v>
      </c>
      <c r="H15" t="s">
        <v>160</v>
      </c>
      <c r="J15" t="s">
        <v>233</v>
      </c>
      <c r="K15" t="s">
        <v>237</v>
      </c>
      <c r="L15" t="s">
        <v>268</v>
      </c>
      <c r="M15" t="s">
        <v>275</v>
      </c>
      <c r="N15" t="s">
        <v>161</v>
      </c>
    </row>
    <row r="16" spans="1:15" x14ac:dyDescent="0.3">
      <c r="A16" s="7">
        <v>15</v>
      </c>
      <c r="B16" t="s">
        <v>48</v>
      </c>
      <c r="C16" t="s">
        <v>96</v>
      </c>
      <c r="D16" t="s">
        <v>162</v>
      </c>
      <c r="F16" t="s">
        <v>163</v>
      </c>
      <c r="H16" t="s">
        <v>164</v>
      </c>
      <c r="J16" t="s">
        <v>234</v>
      </c>
      <c r="K16" t="s">
        <v>238</v>
      </c>
      <c r="L16" t="s">
        <v>270</v>
      </c>
      <c r="M16" t="s">
        <v>276</v>
      </c>
      <c r="N16" t="s">
        <v>165</v>
      </c>
      <c r="O16" t="s">
        <v>127</v>
      </c>
    </row>
    <row r="17" spans="1:15" x14ac:dyDescent="0.3">
      <c r="A17" s="7">
        <v>16</v>
      </c>
      <c r="B17" t="s">
        <v>50</v>
      </c>
      <c r="C17" t="s">
        <v>96</v>
      </c>
      <c r="D17" t="s">
        <v>166</v>
      </c>
      <c r="F17" t="s">
        <v>167</v>
      </c>
      <c r="H17" t="s">
        <v>168</v>
      </c>
      <c r="J17" t="s">
        <v>235</v>
      </c>
      <c r="K17" t="s">
        <v>239</v>
      </c>
      <c r="L17" t="s">
        <v>272</v>
      </c>
      <c r="M17" t="s">
        <v>277</v>
      </c>
      <c r="N17" t="s">
        <v>169</v>
      </c>
      <c r="O17" t="s">
        <v>128</v>
      </c>
    </row>
    <row r="18" spans="1:15" x14ac:dyDescent="0.3">
      <c r="A18" s="7">
        <v>17</v>
      </c>
      <c r="B18" t="s">
        <v>96</v>
      </c>
    </row>
    <row r="19" spans="1:15" x14ac:dyDescent="0.3">
      <c r="A19" s="7">
        <v>18</v>
      </c>
      <c r="B19" t="s">
        <v>14</v>
      </c>
    </row>
    <row r="20" spans="1:15" x14ac:dyDescent="0.3">
      <c r="A20" s="7">
        <v>19</v>
      </c>
      <c r="B20" t="s">
        <v>81</v>
      </c>
      <c r="C20" t="s">
        <v>96</v>
      </c>
      <c r="D20" t="s">
        <v>162</v>
      </c>
      <c r="K20" t="s">
        <v>240</v>
      </c>
      <c r="L20" t="s">
        <v>278</v>
      </c>
      <c r="M20" t="s">
        <v>279</v>
      </c>
      <c r="N20" t="s">
        <v>170</v>
      </c>
      <c r="O20" t="s">
        <v>127</v>
      </c>
    </row>
    <row r="21" spans="1:15" x14ac:dyDescent="0.3">
      <c r="A21" s="7">
        <v>20</v>
      </c>
      <c r="B21" t="s">
        <v>82</v>
      </c>
      <c r="C21" t="s">
        <v>96</v>
      </c>
      <c r="D21" t="s">
        <v>166</v>
      </c>
      <c r="K21" t="s">
        <v>241</v>
      </c>
      <c r="L21" t="s">
        <v>280</v>
      </c>
      <c r="M21" t="s">
        <v>281</v>
      </c>
      <c r="N21" t="s">
        <v>171</v>
      </c>
      <c r="O21" t="s">
        <v>128</v>
      </c>
    </row>
    <row r="22" spans="1:15" x14ac:dyDescent="0.3">
      <c r="A22" s="7">
        <v>21</v>
      </c>
      <c r="B22" t="s">
        <v>33</v>
      </c>
      <c r="C22" t="s">
        <v>96</v>
      </c>
      <c r="D22" t="s">
        <v>172</v>
      </c>
      <c r="J22" t="s">
        <v>236</v>
      </c>
      <c r="K22" t="s">
        <v>230</v>
      </c>
      <c r="L22" t="s">
        <v>258</v>
      </c>
      <c r="M22" t="s">
        <v>282</v>
      </c>
      <c r="O22" t="s">
        <v>179</v>
      </c>
    </row>
    <row r="23" spans="1:15" x14ac:dyDescent="0.3">
      <c r="A23" s="7">
        <v>22</v>
      </c>
      <c r="B23" t="s">
        <v>55</v>
      </c>
      <c r="C23" t="s">
        <v>96</v>
      </c>
      <c r="D23" t="s">
        <v>123</v>
      </c>
      <c r="J23" t="s">
        <v>237</v>
      </c>
      <c r="K23" t="s">
        <v>231</v>
      </c>
      <c r="L23" t="s">
        <v>259</v>
      </c>
      <c r="M23" t="s">
        <v>283</v>
      </c>
      <c r="O23" t="s">
        <v>180</v>
      </c>
    </row>
    <row r="24" spans="1:15" x14ac:dyDescent="0.3">
      <c r="A24" s="7">
        <v>23</v>
      </c>
      <c r="B24" t="s">
        <v>56</v>
      </c>
      <c r="C24" t="s">
        <v>96</v>
      </c>
      <c r="D24" t="s">
        <v>175</v>
      </c>
      <c r="J24" t="s">
        <v>238</v>
      </c>
      <c r="K24" t="s">
        <v>240</v>
      </c>
      <c r="L24" t="s">
        <v>284</v>
      </c>
      <c r="M24" t="s">
        <v>279</v>
      </c>
      <c r="O24" t="s">
        <v>176</v>
      </c>
    </row>
    <row r="25" spans="1:15" x14ac:dyDescent="0.3">
      <c r="A25" s="7">
        <v>24</v>
      </c>
      <c r="B25" t="s">
        <v>57</v>
      </c>
      <c r="C25" t="s">
        <v>96</v>
      </c>
      <c r="D25" t="s">
        <v>177</v>
      </c>
      <c r="J25" t="s">
        <v>239</v>
      </c>
      <c r="K25" t="s">
        <v>241</v>
      </c>
      <c r="L25" t="s">
        <v>285</v>
      </c>
      <c r="M25" t="s">
        <v>281</v>
      </c>
      <c r="O25" t="s">
        <v>178</v>
      </c>
    </row>
    <row r="26" spans="1:15" x14ac:dyDescent="0.3">
      <c r="A26" s="7">
        <v>25</v>
      </c>
      <c r="B26" t="s">
        <v>58</v>
      </c>
      <c r="C26" t="s">
        <v>96</v>
      </c>
      <c r="D26" t="s">
        <v>129</v>
      </c>
      <c r="H26" t="s">
        <v>181</v>
      </c>
      <c r="J26" t="s">
        <v>228</v>
      </c>
      <c r="K26" t="s">
        <v>242</v>
      </c>
      <c r="L26" t="s">
        <v>258</v>
      </c>
      <c r="M26" t="s">
        <v>282</v>
      </c>
      <c r="O26" t="s">
        <v>182</v>
      </c>
    </row>
    <row r="27" spans="1:15" x14ac:dyDescent="0.3">
      <c r="A27" s="7">
        <v>26</v>
      </c>
      <c r="B27" t="s">
        <v>59</v>
      </c>
      <c r="C27" t="s">
        <v>96</v>
      </c>
      <c r="D27" t="s">
        <v>130</v>
      </c>
      <c r="H27" t="s">
        <v>183</v>
      </c>
      <c r="J27" t="s">
        <v>229</v>
      </c>
      <c r="K27" t="s">
        <v>243</v>
      </c>
      <c r="L27" t="s">
        <v>259</v>
      </c>
      <c r="M27" t="s">
        <v>283</v>
      </c>
      <c r="O27" t="s">
        <v>184</v>
      </c>
    </row>
    <row r="28" spans="1:15" x14ac:dyDescent="0.3">
      <c r="A28" s="7">
        <v>27</v>
      </c>
      <c r="B28" t="s">
        <v>60</v>
      </c>
      <c r="C28" t="s">
        <v>96</v>
      </c>
      <c r="D28" t="s">
        <v>131</v>
      </c>
      <c r="H28" t="s">
        <v>185</v>
      </c>
      <c r="J28" t="s">
        <v>244</v>
      </c>
      <c r="K28" t="s">
        <v>245</v>
      </c>
      <c r="L28" t="s">
        <v>284</v>
      </c>
      <c r="M28" t="s">
        <v>276</v>
      </c>
      <c r="O28" t="s">
        <v>179</v>
      </c>
    </row>
    <row r="29" spans="1:15" x14ac:dyDescent="0.3">
      <c r="A29" s="7">
        <v>28</v>
      </c>
      <c r="B29" t="s">
        <v>61</v>
      </c>
      <c r="C29" t="s">
        <v>96</v>
      </c>
      <c r="D29" t="s">
        <v>135</v>
      </c>
      <c r="H29" t="s">
        <v>186</v>
      </c>
      <c r="J29" t="s">
        <v>246</v>
      </c>
      <c r="K29" t="s">
        <v>247</v>
      </c>
      <c r="L29" t="s">
        <v>285</v>
      </c>
      <c r="M29" t="s">
        <v>277</v>
      </c>
      <c r="N29" t="s">
        <v>125</v>
      </c>
      <c r="O29" t="s">
        <v>180</v>
      </c>
    </row>
    <row r="30" spans="1:15" x14ac:dyDescent="0.3">
      <c r="A30" s="7">
        <v>29</v>
      </c>
      <c r="B30" t="s">
        <v>62</v>
      </c>
      <c r="C30" t="s">
        <v>96</v>
      </c>
      <c r="D30" t="s">
        <v>138</v>
      </c>
      <c r="H30" t="s">
        <v>187</v>
      </c>
      <c r="J30" t="s">
        <v>248</v>
      </c>
      <c r="K30" t="s">
        <v>245</v>
      </c>
      <c r="L30" t="s">
        <v>286</v>
      </c>
      <c r="M30" t="s">
        <v>282</v>
      </c>
      <c r="N30" t="s">
        <v>165</v>
      </c>
      <c r="O30" t="s">
        <v>127</v>
      </c>
    </row>
    <row r="31" spans="1:15" x14ac:dyDescent="0.3">
      <c r="A31" s="7">
        <v>30</v>
      </c>
      <c r="B31" t="s">
        <v>63</v>
      </c>
      <c r="C31" t="s">
        <v>96</v>
      </c>
      <c r="D31" t="s">
        <v>139</v>
      </c>
      <c r="H31" t="s">
        <v>188</v>
      </c>
      <c r="J31" t="s">
        <v>249</v>
      </c>
      <c r="K31" t="s">
        <v>247</v>
      </c>
      <c r="L31" t="s">
        <v>287</v>
      </c>
      <c r="M31" t="s">
        <v>283</v>
      </c>
      <c r="N31" t="s">
        <v>169</v>
      </c>
      <c r="O31" t="s">
        <v>128</v>
      </c>
    </row>
    <row r="32" spans="1:15" x14ac:dyDescent="0.3">
      <c r="A32" s="7">
        <v>31</v>
      </c>
      <c r="B32" t="s">
        <v>34</v>
      </c>
      <c r="C32" t="s">
        <v>96</v>
      </c>
      <c r="D32" t="s">
        <v>140</v>
      </c>
      <c r="H32" t="s">
        <v>189</v>
      </c>
      <c r="J32" t="s">
        <v>242</v>
      </c>
      <c r="K32" t="s">
        <v>250</v>
      </c>
      <c r="L32" t="s">
        <v>262</v>
      </c>
      <c r="M32" t="s">
        <v>279</v>
      </c>
      <c r="O32" t="s">
        <v>173</v>
      </c>
    </row>
    <row r="33" spans="1:15" x14ac:dyDescent="0.3">
      <c r="A33" s="7">
        <v>32</v>
      </c>
      <c r="B33" t="s">
        <v>64</v>
      </c>
      <c r="C33" t="s">
        <v>96</v>
      </c>
      <c r="D33" t="s">
        <v>141</v>
      </c>
      <c r="H33" t="s">
        <v>190</v>
      </c>
      <c r="J33" t="s">
        <v>243</v>
      </c>
      <c r="K33" t="s">
        <v>251</v>
      </c>
      <c r="L33" t="s">
        <v>264</v>
      </c>
      <c r="M33" t="s">
        <v>281</v>
      </c>
      <c r="N33" t="s">
        <v>209</v>
      </c>
      <c r="O33" t="s">
        <v>174</v>
      </c>
    </row>
    <row r="34" spans="1:15" x14ac:dyDescent="0.3">
      <c r="A34" s="7">
        <v>33</v>
      </c>
      <c r="B34" t="s">
        <v>191</v>
      </c>
      <c r="C34" t="s">
        <v>96</v>
      </c>
      <c r="D34" t="s">
        <v>172</v>
      </c>
      <c r="J34" t="s">
        <v>245</v>
      </c>
      <c r="K34" t="s">
        <v>248</v>
      </c>
      <c r="L34" t="s">
        <v>278</v>
      </c>
      <c r="M34" t="s">
        <v>274</v>
      </c>
      <c r="N34" t="s">
        <v>192</v>
      </c>
    </row>
    <row r="35" spans="1:15" x14ac:dyDescent="0.3">
      <c r="A35" s="7">
        <v>34</v>
      </c>
      <c r="B35" t="s">
        <v>193</v>
      </c>
      <c r="C35" t="s">
        <v>96</v>
      </c>
      <c r="D35" t="s">
        <v>123</v>
      </c>
      <c r="J35" t="s">
        <v>247</v>
      </c>
      <c r="K35" t="s">
        <v>249</v>
      </c>
      <c r="L35" t="s">
        <v>280</v>
      </c>
      <c r="M35" t="s">
        <v>275</v>
      </c>
      <c r="N35" t="s">
        <v>194</v>
      </c>
    </row>
    <row r="36" spans="1:15" x14ac:dyDescent="0.3">
      <c r="A36" s="7">
        <v>35</v>
      </c>
      <c r="B36" t="s">
        <v>14</v>
      </c>
    </row>
    <row r="37" spans="1:15" x14ac:dyDescent="0.3">
      <c r="A37" s="7">
        <v>36</v>
      </c>
      <c r="B37" t="s">
        <v>96</v>
      </c>
    </row>
    <row r="38" spans="1:15" x14ac:dyDescent="0.3">
      <c r="A38" s="7">
        <v>37</v>
      </c>
      <c r="B38" t="s">
        <v>84</v>
      </c>
      <c r="C38" t="s">
        <v>96</v>
      </c>
      <c r="D38" t="s">
        <v>140</v>
      </c>
      <c r="K38" t="s">
        <v>248</v>
      </c>
      <c r="L38" t="s">
        <v>286</v>
      </c>
      <c r="M38" t="s">
        <v>260</v>
      </c>
      <c r="O38" t="s">
        <v>176</v>
      </c>
    </row>
    <row r="39" spans="1:15" x14ac:dyDescent="0.3">
      <c r="A39" s="7">
        <v>38</v>
      </c>
      <c r="B39" t="s">
        <v>86</v>
      </c>
      <c r="C39" t="s">
        <v>96</v>
      </c>
      <c r="D39" t="s">
        <v>141</v>
      </c>
      <c r="K39" t="s">
        <v>249</v>
      </c>
      <c r="L39" t="s">
        <v>287</v>
      </c>
      <c r="M39" t="s">
        <v>261</v>
      </c>
      <c r="O39" t="s">
        <v>178</v>
      </c>
    </row>
    <row r="40" spans="1:15" x14ac:dyDescent="0.3">
      <c r="A40" s="7">
        <v>39</v>
      </c>
      <c r="B40" t="s">
        <v>74</v>
      </c>
      <c r="C40" t="s">
        <v>96</v>
      </c>
      <c r="D40" t="s">
        <v>177</v>
      </c>
      <c r="L40" t="s">
        <v>263</v>
      </c>
      <c r="O40" t="s">
        <v>176</v>
      </c>
    </row>
    <row r="41" spans="1:15" x14ac:dyDescent="0.3">
      <c r="A41" s="7">
        <v>40</v>
      </c>
      <c r="B41" t="s">
        <v>10</v>
      </c>
    </row>
    <row r="42" spans="1:15" x14ac:dyDescent="0.3">
      <c r="A42" s="7">
        <v>41</v>
      </c>
      <c r="B42" t="s">
        <v>75</v>
      </c>
      <c r="C42" t="s">
        <v>96</v>
      </c>
      <c r="D42" t="s">
        <v>142</v>
      </c>
      <c r="L42" t="s">
        <v>265</v>
      </c>
      <c r="O42" t="s">
        <v>176</v>
      </c>
    </row>
    <row r="43" spans="1:15" x14ac:dyDescent="0.3">
      <c r="A43" s="7">
        <v>42</v>
      </c>
      <c r="B43" t="s">
        <v>14</v>
      </c>
    </row>
    <row r="44" spans="1:15" x14ac:dyDescent="0.3">
      <c r="A44" s="7">
        <v>43</v>
      </c>
      <c r="B44" t="s">
        <v>89</v>
      </c>
    </row>
    <row r="45" spans="1:15" x14ac:dyDescent="0.3">
      <c r="A45" s="7">
        <v>44</v>
      </c>
      <c r="B45" t="s">
        <v>88</v>
      </c>
    </row>
    <row r="46" spans="1:15" x14ac:dyDescent="0.3">
      <c r="A46" s="7">
        <v>45</v>
      </c>
      <c r="B46" t="s">
        <v>78</v>
      </c>
      <c r="C46" t="s">
        <v>96</v>
      </c>
      <c r="D46" t="s">
        <v>162</v>
      </c>
      <c r="K46" t="s">
        <v>244</v>
      </c>
      <c r="L46" t="s">
        <v>270</v>
      </c>
      <c r="M46" t="s">
        <v>271</v>
      </c>
      <c r="N46" t="s">
        <v>79</v>
      </c>
      <c r="O46" t="s">
        <v>176</v>
      </c>
    </row>
    <row r="47" spans="1:15" x14ac:dyDescent="0.3">
      <c r="A47" s="7">
        <v>46</v>
      </c>
      <c r="B47" t="s">
        <v>80</v>
      </c>
      <c r="C47" t="s">
        <v>96</v>
      </c>
      <c r="D47" t="s">
        <v>166</v>
      </c>
      <c r="K47" t="s">
        <v>246</v>
      </c>
      <c r="L47" t="s">
        <v>272</v>
      </c>
      <c r="M47" t="s">
        <v>273</v>
      </c>
      <c r="N47" t="s">
        <v>195</v>
      </c>
    </row>
    <row r="48" spans="1:15" x14ac:dyDescent="0.3">
      <c r="A48" s="7">
        <v>47</v>
      </c>
      <c r="B48" t="s">
        <v>40</v>
      </c>
      <c r="C48" t="s">
        <v>122</v>
      </c>
      <c r="D48" t="s">
        <v>131</v>
      </c>
      <c r="F48" t="s">
        <v>196</v>
      </c>
      <c r="H48" t="s">
        <v>197</v>
      </c>
      <c r="K48" t="s">
        <v>250</v>
      </c>
      <c r="L48" t="s">
        <v>288</v>
      </c>
      <c r="M48" t="s">
        <v>267</v>
      </c>
    </row>
    <row r="49" spans="1:13" x14ac:dyDescent="0.3">
      <c r="A49" s="7">
        <v>48</v>
      </c>
      <c r="B49" t="s">
        <v>42</v>
      </c>
      <c r="C49" t="s">
        <v>122</v>
      </c>
      <c r="D49" t="s">
        <v>135</v>
      </c>
      <c r="F49" t="s">
        <v>198</v>
      </c>
      <c r="H49" t="s">
        <v>199</v>
      </c>
      <c r="K49" t="s">
        <v>251</v>
      </c>
      <c r="L49" t="s">
        <v>289</v>
      </c>
      <c r="M49" t="s">
        <v>269</v>
      </c>
    </row>
  </sheetData>
  <sortState xmlns:xlrd2="http://schemas.microsoft.com/office/spreadsheetml/2017/richdata2" ref="A2:X52">
    <sortCondition ref="A2:A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2570-F452-4874-B18C-4858AB92DB4D}">
  <dimension ref="A1:B22"/>
  <sheetViews>
    <sheetView workbookViewId="0">
      <selection activeCell="D10" sqref="D10"/>
    </sheetView>
  </sheetViews>
  <sheetFormatPr defaultRowHeight="14.4" x14ac:dyDescent="0.3"/>
  <cols>
    <col min="1" max="1" width="25.6640625" customWidth="1"/>
    <col min="2" max="2" width="14.33203125" style="9" customWidth="1"/>
  </cols>
  <sheetData>
    <row r="1" spans="1:2" ht="15.6" x14ac:dyDescent="0.35">
      <c r="A1" s="12" t="s">
        <v>97</v>
      </c>
    </row>
    <row r="2" spans="1:2" x14ac:dyDescent="0.3">
      <c r="A2" s="2" t="s">
        <v>98</v>
      </c>
      <c r="B2" s="9" t="s">
        <v>120</v>
      </c>
    </row>
    <row r="3" spans="1:2" x14ac:dyDescent="0.3">
      <c r="A3" s="2" t="s">
        <v>99</v>
      </c>
      <c r="B3" s="9" t="s">
        <v>119</v>
      </c>
    </row>
    <row r="4" spans="1:2" x14ac:dyDescent="0.3">
      <c r="A4" s="2" t="s">
        <v>100</v>
      </c>
      <c r="B4" s="9">
        <v>48</v>
      </c>
    </row>
    <row r="5" spans="1:2" x14ac:dyDescent="0.3">
      <c r="A5" s="2" t="s">
        <v>101</v>
      </c>
    </row>
    <row r="6" spans="1:2" x14ac:dyDescent="0.3">
      <c r="A6" s="2" t="s">
        <v>102</v>
      </c>
      <c r="B6" s="9" t="s">
        <v>118</v>
      </c>
    </row>
    <row r="7" spans="1:2" x14ac:dyDescent="0.3">
      <c r="A7" s="2" t="s">
        <v>103</v>
      </c>
      <c r="B7" s="9" t="s">
        <v>116</v>
      </c>
    </row>
    <row r="8" spans="1:2" x14ac:dyDescent="0.3">
      <c r="A8" s="2" t="s">
        <v>104</v>
      </c>
      <c r="B8" s="9">
        <v>6</v>
      </c>
    </row>
    <row r="9" spans="1:2" x14ac:dyDescent="0.3">
      <c r="A9" s="2" t="s">
        <v>256</v>
      </c>
      <c r="B9" s="10">
        <v>45718</v>
      </c>
    </row>
    <row r="10" spans="1:2" x14ac:dyDescent="0.3">
      <c r="A10" s="2" t="s">
        <v>105</v>
      </c>
      <c r="B10" s="9">
        <v>3</v>
      </c>
    </row>
    <row r="11" spans="1:2" x14ac:dyDescent="0.3">
      <c r="A11" s="2" t="s">
        <v>257</v>
      </c>
      <c r="B11" s="11" t="s">
        <v>255</v>
      </c>
    </row>
    <row r="12" spans="1:2" x14ac:dyDescent="0.3">
      <c r="A12" s="2" t="s">
        <v>106</v>
      </c>
      <c r="B12" s="9" t="s">
        <v>116</v>
      </c>
    </row>
    <row r="13" spans="1:2" x14ac:dyDescent="0.3">
      <c r="A13" s="2" t="s">
        <v>107</v>
      </c>
      <c r="B13" s="9">
        <v>12</v>
      </c>
    </row>
    <row r="14" spans="1:2" x14ac:dyDescent="0.3">
      <c r="A14" s="2" t="s">
        <v>108</v>
      </c>
      <c r="B14" s="9" t="s">
        <v>116</v>
      </c>
    </row>
    <row r="15" spans="1:2" x14ac:dyDescent="0.3">
      <c r="A15" s="2" t="s">
        <v>109</v>
      </c>
      <c r="B15" s="9" t="s">
        <v>116</v>
      </c>
    </row>
    <row r="16" spans="1:2" x14ac:dyDescent="0.3">
      <c r="A16" s="2" t="s">
        <v>110</v>
      </c>
      <c r="B16" s="9">
        <v>12</v>
      </c>
    </row>
    <row r="17" spans="1:2" x14ac:dyDescent="0.3">
      <c r="A17" s="2" t="s">
        <v>111</v>
      </c>
      <c r="B17" s="9">
        <v>16</v>
      </c>
    </row>
    <row r="18" spans="1:2" x14ac:dyDescent="0.3">
      <c r="A18" s="2" t="s">
        <v>112</v>
      </c>
      <c r="B18" s="9">
        <v>38</v>
      </c>
    </row>
    <row r="19" spans="1:2" x14ac:dyDescent="0.3">
      <c r="A19" s="2" t="s">
        <v>113</v>
      </c>
      <c r="B19" s="9">
        <v>14</v>
      </c>
    </row>
    <row r="20" spans="1:2" x14ac:dyDescent="0.3">
      <c r="A20" s="2" t="s">
        <v>117</v>
      </c>
      <c r="B20" s="9">
        <v>2</v>
      </c>
    </row>
    <row r="21" spans="1:2" x14ac:dyDescent="0.3">
      <c r="A21" s="2" t="s">
        <v>45</v>
      </c>
      <c r="B21" s="9" t="s">
        <v>116</v>
      </c>
    </row>
    <row r="22" spans="1:2" x14ac:dyDescent="0.3">
      <c r="A22" s="2" t="s">
        <v>114</v>
      </c>
      <c r="B22" s="9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37D5-4974-486D-B044-81C9B95BD06E}">
  <dimension ref="A1:J39"/>
  <sheetViews>
    <sheetView zoomScale="130" zoomScaleNormal="130" workbookViewId="0">
      <pane ySplit="1" topLeftCell="A2" activePane="bottomLeft" state="frozen"/>
      <selection pane="bottomLeft" activeCell="H20" sqref="H20"/>
    </sheetView>
  </sheetViews>
  <sheetFormatPr defaultRowHeight="14.4" x14ac:dyDescent="0.3"/>
  <cols>
    <col min="1" max="1" width="21.21875" style="5" customWidth="1"/>
    <col min="2" max="3" width="8.88671875" style="5"/>
    <col min="4" max="4" width="26.88671875" style="5" customWidth="1"/>
    <col min="5" max="5" width="17.88671875" style="5" customWidth="1"/>
    <col min="6" max="6" width="11" style="5" customWidth="1"/>
    <col min="7" max="7" width="11.44140625" style="5" customWidth="1"/>
    <col min="8" max="9" width="8.88671875" style="5"/>
    <col min="10" max="10" width="22.6640625" style="5" customWidth="1"/>
    <col min="11" max="16384" width="8.88671875" style="5"/>
  </cols>
  <sheetData>
    <row r="1" spans="1:10" x14ac:dyDescent="0.3">
      <c r="B1" s="5" t="s">
        <v>423</v>
      </c>
      <c r="C1" s="5" t="s">
        <v>424</v>
      </c>
      <c r="G1" s="5" t="s">
        <v>21</v>
      </c>
      <c r="H1" s="5" t="s">
        <v>423</v>
      </c>
      <c r="I1" s="5" t="s">
        <v>424</v>
      </c>
    </row>
    <row r="2" spans="1:10" x14ac:dyDescent="0.3">
      <c r="A2" s="5" t="s">
        <v>435</v>
      </c>
      <c r="D2" s="5" t="s">
        <v>436</v>
      </c>
    </row>
    <row r="3" spans="1:10" x14ac:dyDescent="0.3">
      <c r="A3" s="25" t="s">
        <v>420</v>
      </c>
      <c r="B3" s="5" t="s">
        <v>425</v>
      </c>
      <c r="C3" s="5" t="s">
        <v>426</v>
      </c>
    </row>
    <row r="4" spans="1:10" x14ac:dyDescent="0.3">
      <c r="A4" s="25" t="s">
        <v>421</v>
      </c>
      <c r="C4" s="5" t="s">
        <v>427</v>
      </c>
    </row>
    <row r="5" spans="1:10" x14ac:dyDescent="0.3">
      <c r="A5" s="25" t="s">
        <v>422</v>
      </c>
    </row>
    <row r="7" spans="1:10" x14ac:dyDescent="0.3">
      <c r="A7" s="5" t="s">
        <v>434</v>
      </c>
      <c r="D7" s="5" t="s">
        <v>433</v>
      </c>
    </row>
    <row r="8" spans="1:10" x14ac:dyDescent="0.3">
      <c r="A8" s="25" t="s">
        <v>428</v>
      </c>
      <c r="B8" s="5" t="s">
        <v>430</v>
      </c>
      <c r="D8" s="5" t="s">
        <v>431</v>
      </c>
    </row>
    <row r="9" spans="1:10" x14ac:dyDescent="0.3">
      <c r="A9" s="25" t="s">
        <v>429</v>
      </c>
      <c r="B9" s="5" t="s">
        <v>432</v>
      </c>
    </row>
    <row r="12" spans="1:10" x14ac:dyDescent="0.3">
      <c r="A12" s="26" t="s">
        <v>469</v>
      </c>
      <c r="B12" s="26" t="s">
        <v>440</v>
      </c>
      <c r="C12" s="26" t="s">
        <v>433</v>
      </c>
      <c r="D12" s="26" t="s">
        <v>452</v>
      </c>
      <c r="E12" s="26"/>
      <c r="F12" s="26" t="s">
        <v>476</v>
      </c>
    </row>
    <row r="13" spans="1:10" ht="43.2" x14ac:dyDescent="0.3">
      <c r="A13" s="27" t="s">
        <v>451</v>
      </c>
      <c r="B13" s="25" t="s">
        <v>462</v>
      </c>
      <c r="C13" s="25" t="s">
        <v>463</v>
      </c>
      <c r="D13" s="5" t="s">
        <v>455</v>
      </c>
      <c r="E13" s="5" t="s">
        <v>477</v>
      </c>
      <c r="F13" s="27" t="s">
        <v>446</v>
      </c>
      <c r="G13" s="30" t="s">
        <v>479</v>
      </c>
      <c r="H13" s="30" t="s">
        <v>482</v>
      </c>
      <c r="I13" s="31"/>
      <c r="J13" s="5" t="s">
        <v>447</v>
      </c>
    </row>
    <row r="14" spans="1:10" ht="15.6" x14ac:dyDescent="0.3">
      <c r="A14" s="27" t="s">
        <v>448</v>
      </c>
      <c r="B14" s="25"/>
      <c r="C14" s="25" t="s">
        <v>450</v>
      </c>
      <c r="D14" s="5" t="s">
        <v>459</v>
      </c>
      <c r="G14" s="31"/>
      <c r="H14" s="31"/>
      <c r="I14" s="31"/>
    </row>
    <row r="15" spans="1:10" ht="43.2" x14ac:dyDescent="0.3">
      <c r="A15" s="27" t="s">
        <v>464</v>
      </c>
      <c r="B15" s="25"/>
      <c r="C15" s="25" t="s">
        <v>465</v>
      </c>
      <c r="D15" s="5" t="s">
        <v>466</v>
      </c>
      <c r="F15" s="27" t="s">
        <v>445</v>
      </c>
      <c r="G15" s="30" t="s">
        <v>479</v>
      </c>
      <c r="H15" s="31"/>
      <c r="I15" s="32" t="s">
        <v>483</v>
      </c>
      <c r="J15" s="5" t="s">
        <v>454</v>
      </c>
    </row>
    <row r="16" spans="1:10" x14ac:dyDescent="0.3">
      <c r="A16" s="27"/>
      <c r="B16" s="25"/>
      <c r="C16" s="25"/>
      <c r="G16" s="31"/>
      <c r="H16" s="31"/>
      <c r="I16" s="31"/>
    </row>
    <row r="17" spans="1:10" x14ac:dyDescent="0.3">
      <c r="A17" s="26" t="s">
        <v>470</v>
      </c>
      <c r="B17" s="26" t="s">
        <v>439</v>
      </c>
      <c r="C17" s="26" t="s">
        <v>441</v>
      </c>
      <c r="D17" s="26" t="s">
        <v>453</v>
      </c>
      <c r="E17" s="26"/>
      <c r="F17" s="26" t="s">
        <v>475</v>
      </c>
      <c r="G17" s="31"/>
      <c r="H17" s="31"/>
      <c r="I17" s="31"/>
    </row>
    <row r="18" spans="1:10" ht="43.2" x14ac:dyDescent="0.3">
      <c r="A18" s="27" t="s">
        <v>446</v>
      </c>
      <c r="B18" s="25" t="s">
        <v>449</v>
      </c>
      <c r="C18" s="25"/>
      <c r="D18" s="5" t="s">
        <v>447</v>
      </c>
      <c r="F18" s="27" t="s">
        <v>451</v>
      </c>
      <c r="G18" s="30" t="s">
        <v>479</v>
      </c>
      <c r="H18" s="32" t="s">
        <v>480</v>
      </c>
      <c r="I18" s="32"/>
      <c r="J18" s="5" t="s">
        <v>455</v>
      </c>
    </row>
    <row r="19" spans="1:10" ht="43.2" x14ac:dyDescent="0.3">
      <c r="A19" s="27" t="s">
        <v>445</v>
      </c>
      <c r="B19" s="25"/>
      <c r="C19" s="25" t="s">
        <v>427</v>
      </c>
      <c r="D19" s="5" t="s">
        <v>454</v>
      </c>
      <c r="F19" s="27" t="s">
        <v>464</v>
      </c>
      <c r="G19" s="30" t="s">
        <v>479</v>
      </c>
      <c r="H19" s="31"/>
      <c r="I19" s="32" t="s">
        <v>481</v>
      </c>
      <c r="J19" s="5" t="s">
        <v>478</v>
      </c>
    </row>
    <row r="20" spans="1:10" ht="15.6" x14ac:dyDescent="0.3">
      <c r="A20" s="27" t="s">
        <v>456</v>
      </c>
      <c r="B20" s="25"/>
      <c r="C20" s="25" t="s">
        <v>460</v>
      </c>
      <c r="D20" s="5" t="s">
        <v>458</v>
      </c>
    </row>
    <row r="21" spans="1:10" ht="15.6" x14ac:dyDescent="0.3">
      <c r="A21" s="27" t="s">
        <v>457</v>
      </c>
      <c r="B21" s="25"/>
      <c r="C21" s="28" t="s">
        <v>461</v>
      </c>
      <c r="D21" s="5" t="s">
        <v>459</v>
      </c>
    </row>
    <row r="22" spans="1:10" x14ac:dyDescent="0.3">
      <c r="A22" s="27"/>
      <c r="B22" s="25"/>
      <c r="C22" s="25"/>
    </row>
    <row r="23" spans="1:10" x14ac:dyDescent="0.3">
      <c r="A23" s="26" t="s">
        <v>474</v>
      </c>
      <c r="B23" s="26" t="s">
        <v>438</v>
      </c>
      <c r="C23" s="29" t="s">
        <v>442</v>
      </c>
      <c r="D23" s="26" t="s">
        <v>471</v>
      </c>
      <c r="E23" s="26"/>
      <c r="F23" s="26" t="s">
        <v>484</v>
      </c>
    </row>
    <row r="24" spans="1:10" ht="43.2" x14ac:dyDescent="0.3">
      <c r="A24" s="27" t="s">
        <v>446</v>
      </c>
      <c r="B24" s="25" t="s">
        <v>472</v>
      </c>
      <c r="C24" s="25"/>
      <c r="D24" s="5" t="s">
        <v>447</v>
      </c>
      <c r="F24" s="27" t="s">
        <v>451</v>
      </c>
      <c r="G24" s="30" t="s">
        <v>479</v>
      </c>
      <c r="H24" s="32" t="s">
        <v>480</v>
      </c>
      <c r="I24" s="32"/>
      <c r="J24" s="5" t="s">
        <v>455</v>
      </c>
    </row>
    <row r="25" spans="1:10" ht="43.2" x14ac:dyDescent="0.3">
      <c r="A25" s="27" t="s">
        <v>445</v>
      </c>
      <c r="B25" s="25"/>
      <c r="C25" s="25" t="s">
        <v>473</v>
      </c>
      <c r="D25" s="5" t="s">
        <v>454</v>
      </c>
      <c r="F25" s="27" t="s">
        <v>464</v>
      </c>
      <c r="G25" s="30" t="s">
        <v>479</v>
      </c>
      <c r="H25" s="31"/>
      <c r="I25" s="32" t="s">
        <v>481</v>
      </c>
      <c r="J25" s="5" t="s">
        <v>478</v>
      </c>
    </row>
    <row r="26" spans="1:10" ht="15.6" x14ac:dyDescent="0.3">
      <c r="A26" s="27" t="s">
        <v>456</v>
      </c>
      <c r="B26" s="25"/>
      <c r="C26" s="25"/>
      <c r="D26" s="5" t="s">
        <v>458</v>
      </c>
    </row>
    <row r="27" spans="1:10" ht="15.6" x14ac:dyDescent="0.3">
      <c r="A27" s="27" t="s">
        <v>457</v>
      </c>
      <c r="B27" s="25"/>
      <c r="C27" s="28" t="s">
        <v>461</v>
      </c>
      <c r="D27" s="5" t="s">
        <v>459</v>
      </c>
    </row>
    <row r="28" spans="1:10" x14ac:dyDescent="0.3">
      <c r="A28" s="27"/>
      <c r="B28" s="25"/>
      <c r="C28" s="25"/>
    </row>
    <row r="29" spans="1:10" x14ac:dyDescent="0.3">
      <c r="A29" s="26" t="s">
        <v>468</v>
      </c>
      <c r="B29" s="26" t="s">
        <v>437</v>
      </c>
      <c r="C29" s="26" t="s">
        <v>444</v>
      </c>
      <c r="D29" s="26" t="s">
        <v>467</v>
      </c>
      <c r="E29" s="26"/>
      <c r="F29" s="26" t="s">
        <v>488</v>
      </c>
    </row>
    <row r="30" spans="1:10" ht="43.2" x14ac:dyDescent="0.3">
      <c r="A30" s="27" t="s">
        <v>446</v>
      </c>
      <c r="B30" s="25" t="s">
        <v>449</v>
      </c>
      <c r="C30" s="25"/>
      <c r="D30" s="5" t="s">
        <v>447</v>
      </c>
      <c r="F30" s="27" t="s">
        <v>451</v>
      </c>
      <c r="G30" s="30" t="s">
        <v>479</v>
      </c>
      <c r="H30" s="32" t="s">
        <v>480</v>
      </c>
      <c r="I30" s="32"/>
      <c r="J30" s="5" t="s">
        <v>455</v>
      </c>
    </row>
    <row r="31" spans="1:10" ht="43.2" x14ac:dyDescent="0.3">
      <c r="A31" s="27" t="s">
        <v>445</v>
      </c>
      <c r="B31" s="25"/>
      <c r="C31" s="25" t="s">
        <v>427</v>
      </c>
      <c r="D31" s="5" t="s">
        <v>454</v>
      </c>
      <c r="F31" s="27" t="s">
        <v>464</v>
      </c>
      <c r="G31" s="30" t="s">
        <v>479</v>
      </c>
      <c r="H31" s="31"/>
      <c r="I31" s="32" t="s">
        <v>481</v>
      </c>
      <c r="J31" s="5" t="s">
        <v>478</v>
      </c>
    </row>
    <row r="32" spans="1:10" ht="15.6" x14ac:dyDescent="0.3">
      <c r="A32" s="27" t="s">
        <v>456</v>
      </c>
      <c r="B32" s="25"/>
      <c r="C32" s="25" t="s">
        <v>460</v>
      </c>
      <c r="D32" s="5" t="s">
        <v>458</v>
      </c>
    </row>
    <row r="33" spans="1:10" ht="15.6" x14ac:dyDescent="0.3">
      <c r="A33" s="27" t="s">
        <v>457</v>
      </c>
      <c r="B33" s="25"/>
      <c r="C33" s="28" t="s">
        <v>461</v>
      </c>
      <c r="D33" s="5" t="s">
        <v>459</v>
      </c>
    </row>
    <row r="34" spans="1:10" x14ac:dyDescent="0.3">
      <c r="A34" s="27"/>
      <c r="B34" s="25"/>
      <c r="C34" s="28"/>
    </row>
    <row r="35" spans="1:10" x14ac:dyDescent="0.3">
      <c r="A35" s="26" t="s">
        <v>485</v>
      </c>
      <c r="B35" s="26" t="s">
        <v>443</v>
      </c>
      <c r="C35" s="26" t="s">
        <v>433</v>
      </c>
      <c r="D35" s="26"/>
    </row>
    <row r="36" spans="1:10" x14ac:dyDescent="0.3">
      <c r="A36" s="26" t="s">
        <v>486</v>
      </c>
      <c r="B36" s="26" t="s">
        <v>443</v>
      </c>
      <c r="C36" s="26" t="s">
        <v>433</v>
      </c>
      <c r="D36" s="26"/>
    </row>
    <row r="37" spans="1:10" x14ac:dyDescent="0.3">
      <c r="A37" s="26" t="s">
        <v>487</v>
      </c>
      <c r="B37" s="26" t="s">
        <v>443</v>
      </c>
      <c r="C37" s="26" t="s">
        <v>433</v>
      </c>
      <c r="D37" s="26"/>
      <c r="E37" s="26"/>
      <c r="F37" s="26" t="s">
        <v>488</v>
      </c>
    </row>
    <row r="38" spans="1:10" ht="43.2" x14ac:dyDescent="0.3">
      <c r="A38" s="27" t="s">
        <v>451</v>
      </c>
      <c r="B38" s="25" t="s">
        <v>462</v>
      </c>
      <c r="C38" s="25" t="s">
        <v>463</v>
      </c>
      <c r="D38" s="5" t="s">
        <v>455</v>
      </c>
      <c r="E38" s="5" t="s">
        <v>489</v>
      </c>
      <c r="F38" s="27" t="s">
        <v>446</v>
      </c>
      <c r="G38" s="30" t="s">
        <v>479</v>
      </c>
      <c r="H38" s="30" t="s">
        <v>482</v>
      </c>
      <c r="I38" s="31"/>
      <c r="J38" s="5" t="s">
        <v>447</v>
      </c>
    </row>
    <row r="39" spans="1:10" ht="43.2" x14ac:dyDescent="0.3">
      <c r="A39" s="27" t="s">
        <v>464</v>
      </c>
      <c r="B39" s="25"/>
      <c r="C39" s="25" t="s">
        <v>465</v>
      </c>
      <c r="D39" s="5" t="s">
        <v>466</v>
      </c>
      <c r="F39" s="27" t="s">
        <v>445</v>
      </c>
      <c r="G39" s="30" t="s">
        <v>479</v>
      </c>
      <c r="H39" s="31"/>
      <c r="I39" s="32" t="s">
        <v>483</v>
      </c>
      <c r="J39" s="5" t="s">
        <v>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79D9-2F0C-4B80-938C-5E43F9DAA5CC}">
  <dimension ref="A1:Z100"/>
  <sheetViews>
    <sheetView workbookViewId="0">
      <selection activeCell="J2" sqref="J2"/>
    </sheetView>
  </sheetViews>
  <sheetFormatPr defaultRowHeight="14.4" x14ac:dyDescent="0.3"/>
  <cols>
    <col min="1" max="1" width="6.44140625" style="2" customWidth="1"/>
    <col min="2" max="2" width="6.109375" customWidth="1"/>
    <col min="3" max="3" width="6.109375" style="33" customWidth="1"/>
    <col min="4" max="9" width="5.44140625" customWidth="1"/>
    <col min="10" max="10" width="5.33203125" style="7" customWidth="1"/>
    <col min="19" max="24" width="3" style="7" customWidth="1"/>
    <col min="26" max="26" width="32" customWidth="1"/>
  </cols>
  <sheetData>
    <row r="1" spans="1:26" x14ac:dyDescent="0.3">
      <c r="J1" s="7">
        <v>49</v>
      </c>
      <c r="K1" s="7" t="str">
        <f>ADDRESS($J1-28,11)</f>
        <v>$K$21</v>
      </c>
      <c r="L1" s="7" t="str">
        <f>ADDRESS($J1-28,12)</f>
        <v>$L$21</v>
      </c>
      <c r="M1" s="7" t="str">
        <f>ADDRESS($J1-28,13)</f>
        <v>$M$21</v>
      </c>
      <c r="N1" s="7" t="str">
        <f>ADDRESS($J1-28,14)</f>
        <v>$N$21</v>
      </c>
      <c r="O1" s="7" t="str">
        <f>ADDRESS($J1-28,15)</f>
        <v>$O$21</v>
      </c>
      <c r="P1" s="7" t="str">
        <f>ADDRESS($J1-28,16)</f>
        <v>$P$21</v>
      </c>
    </row>
    <row r="2" spans="1:26" x14ac:dyDescent="0.3">
      <c r="J2" s="7" t="s">
        <v>731</v>
      </c>
      <c r="K2" t="str">
        <f ca="1">REPT("0",8-LEN(INDIRECT(K1)))&amp;INDIRECT(K1)</f>
        <v>00000000</v>
      </c>
      <c r="L2" t="str">
        <f t="shared" ref="L2:P2" ca="1" si="0">REPT("0",8-LEN(INDIRECT(L1)))&amp;INDIRECT(L1)</f>
        <v>00000000</v>
      </c>
      <c r="M2" t="str">
        <f t="shared" ca="1" si="0"/>
        <v>01000010</v>
      </c>
      <c r="N2" t="str">
        <f t="shared" ca="1" si="0"/>
        <v>01111111</v>
      </c>
      <c r="O2" t="str">
        <f t="shared" ca="1" si="0"/>
        <v>01000000</v>
      </c>
      <c r="P2" t="str">
        <f t="shared" ca="1" si="0"/>
        <v>00000000</v>
      </c>
    </row>
    <row r="3" spans="1:26" ht="15" thickBot="1" x14ac:dyDescent="0.35">
      <c r="K3" t="s">
        <v>490</v>
      </c>
      <c r="L3" t="s">
        <v>491</v>
      </c>
      <c r="M3" t="s">
        <v>492</v>
      </c>
      <c r="N3" t="s">
        <v>493</v>
      </c>
      <c r="O3" t="s">
        <v>494</v>
      </c>
      <c r="P3" t="s">
        <v>495</v>
      </c>
      <c r="Z3" t="s">
        <v>496</v>
      </c>
    </row>
    <row r="4" spans="1:26" ht="15" thickTop="1" x14ac:dyDescent="0.3">
      <c r="A4" s="2">
        <v>32</v>
      </c>
      <c r="B4" t="str">
        <f>"0x"&amp;DEC2HEX(A4)</f>
        <v>0x20</v>
      </c>
      <c r="C4" s="33" t="s">
        <v>462</v>
      </c>
      <c r="D4" t="s">
        <v>497</v>
      </c>
      <c r="E4" t="s">
        <v>497</v>
      </c>
      <c r="F4" t="s">
        <v>497</v>
      </c>
      <c r="G4" t="s">
        <v>497</v>
      </c>
      <c r="H4" t="s">
        <v>497</v>
      </c>
      <c r="I4" t="s">
        <v>497</v>
      </c>
      <c r="J4" s="7" t="str">
        <f t="shared" ref="J4:J67" si="1">CHAR(A4)</f>
        <v xml:space="preserve"> </v>
      </c>
      <c r="K4" t="s">
        <v>498</v>
      </c>
      <c r="L4" t="s">
        <v>498</v>
      </c>
      <c r="M4" t="s">
        <v>498</v>
      </c>
      <c r="N4" t="s">
        <v>498</v>
      </c>
      <c r="O4" t="s">
        <v>498</v>
      </c>
      <c r="P4" t="s">
        <v>498</v>
      </c>
      <c r="R4">
        <v>8</v>
      </c>
      <c r="S4" s="34" t="str">
        <f t="shared" ref="S4:X11" ca="1" si="2">IF(MID(K$2,$R4,1)="1",".","")</f>
        <v/>
      </c>
      <c r="T4" s="35" t="str">
        <f t="shared" ca="1" si="2"/>
        <v/>
      </c>
      <c r="U4" s="35" t="str">
        <f t="shared" ca="1" si="2"/>
        <v/>
      </c>
      <c r="V4" s="35" t="str">
        <f t="shared" ca="1" si="2"/>
        <v>.</v>
      </c>
      <c r="W4" s="35" t="str">
        <f t="shared" ca="1" si="2"/>
        <v/>
      </c>
      <c r="X4" s="36" t="str">
        <f t="shared" ca="1" si="2"/>
        <v/>
      </c>
      <c r="Z4" t="str">
        <f>"{"&amp;RD174&amp;","&amp;E4&amp;","&amp;F4&amp;","&amp;G4&amp;","&amp;H4&amp;","&amp;I4&amp;"}, // "&amp;B4&amp;"  "&amp;C4</f>
        <v xml:space="preserve">{,0x00,0x00,0x00,0x00,0x00}, // 0x20   </v>
      </c>
    </row>
    <row r="5" spans="1:26" x14ac:dyDescent="0.3">
      <c r="A5" s="2">
        <v>33</v>
      </c>
      <c r="B5" t="str">
        <f>"0x"&amp;DEC2HEX(A5)</f>
        <v>0x21</v>
      </c>
      <c r="C5" s="33" t="s">
        <v>499</v>
      </c>
      <c r="D5" t="s">
        <v>497</v>
      </c>
      <c r="E5" t="s">
        <v>497</v>
      </c>
      <c r="F5" t="s">
        <v>497</v>
      </c>
      <c r="G5" t="s">
        <v>500</v>
      </c>
      <c r="H5" t="s">
        <v>497</v>
      </c>
      <c r="I5" t="s">
        <v>497</v>
      </c>
      <c r="J5" s="7" t="str">
        <f t="shared" si="1"/>
        <v>!</v>
      </c>
      <c r="K5" t="s">
        <v>498</v>
      </c>
      <c r="L5" t="s">
        <v>498</v>
      </c>
      <c r="M5" t="s">
        <v>498</v>
      </c>
      <c r="N5" t="s">
        <v>501</v>
      </c>
      <c r="O5" t="s">
        <v>498</v>
      </c>
      <c r="P5" t="s">
        <v>498</v>
      </c>
      <c r="R5">
        <v>7</v>
      </c>
      <c r="S5" s="37" t="str">
        <f t="shared" ca="1" si="2"/>
        <v/>
      </c>
      <c r="T5" s="7" t="str">
        <f t="shared" ca="1" si="2"/>
        <v/>
      </c>
      <c r="U5" s="7" t="str">
        <f t="shared" ca="1" si="2"/>
        <v>.</v>
      </c>
      <c r="V5" s="7" t="str">
        <f t="shared" ca="1" si="2"/>
        <v>.</v>
      </c>
      <c r="W5" s="7" t="str">
        <f t="shared" ca="1" si="2"/>
        <v/>
      </c>
      <c r="X5" s="38" t="str">
        <f t="shared" ca="1" si="2"/>
        <v/>
      </c>
      <c r="Z5" t="str">
        <f t="shared" ref="Z5:Z68" si="3">"{"  &amp; D5 &amp; "," &amp; E5 &amp; "," &amp; F5 &amp; "," &amp; G5 &amp; "," &amp; H5 &amp; "," &amp; I5 &amp; "}, // "&amp; B5 &amp; "  " &amp; C5</f>
        <v>{0x00,0x00,0x00,0x6f,0x00,0x00}, // 0x21  !</v>
      </c>
    </row>
    <row r="6" spans="1:26" x14ac:dyDescent="0.3">
      <c r="A6" s="2">
        <v>34</v>
      </c>
      <c r="B6" t="str">
        <f t="shared" ref="B6:B69" si="4">"0x"&amp;DEC2HEX(A6)</f>
        <v>0x22</v>
      </c>
      <c r="C6" s="33" t="s">
        <v>502</v>
      </c>
      <c r="D6" t="s">
        <v>497</v>
      </c>
      <c r="E6" t="s">
        <v>497</v>
      </c>
      <c r="F6" t="s">
        <v>503</v>
      </c>
      <c r="G6" t="s">
        <v>497</v>
      </c>
      <c r="H6" t="s">
        <v>503</v>
      </c>
      <c r="I6" t="s">
        <v>497</v>
      </c>
      <c r="J6" s="7" t="str">
        <f t="shared" si="1"/>
        <v>"</v>
      </c>
      <c r="K6" t="s">
        <v>498</v>
      </c>
      <c r="L6" t="s">
        <v>498</v>
      </c>
      <c r="M6" t="s">
        <v>504</v>
      </c>
      <c r="N6" t="s">
        <v>498</v>
      </c>
      <c r="O6" t="s">
        <v>504</v>
      </c>
      <c r="P6" t="s">
        <v>498</v>
      </c>
      <c r="R6">
        <v>6</v>
      </c>
      <c r="S6" s="37" t="str">
        <f t="shared" ca="1" si="2"/>
        <v/>
      </c>
      <c r="T6" s="7" t="str">
        <f t="shared" ca="1" si="2"/>
        <v/>
      </c>
      <c r="U6" s="7" t="str">
        <f t="shared" ca="1" si="2"/>
        <v/>
      </c>
      <c r="V6" s="7" t="str">
        <f t="shared" ca="1" si="2"/>
        <v>.</v>
      </c>
      <c r="W6" s="7" t="str">
        <f t="shared" ca="1" si="2"/>
        <v/>
      </c>
      <c r="X6" s="38" t="str">
        <f t="shared" ca="1" si="2"/>
        <v/>
      </c>
      <c r="Z6" t="str">
        <f t="shared" si="3"/>
        <v>{0x00,0x00,0x07,0x00,0x07,0x00}, // 0x22  "</v>
      </c>
    </row>
    <row r="7" spans="1:26" x14ac:dyDescent="0.3">
      <c r="A7" s="2">
        <v>35</v>
      </c>
      <c r="B7" t="str">
        <f t="shared" si="4"/>
        <v>0x23</v>
      </c>
      <c r="C7" s="33" t="s">
        <v>505</v>
      </c>
      <c r="D7" t="s">
        <v>497</v>
      </c>
      <c r="E7" t="s">
        <v>506</v>
      </c>
      <c r="F7" t="s">
        <v>507</v>
      </c>
      <c r="G7" t="s">
        <v>506</v>
      </c>
      <c r="H7" t="s">
        <v>507</v>
      </c>
      <c r="I7" t="s">
        <v>506</v>
      </c>
      <c r="J7" s="7" t="str">
        <f t="shared" si="1"/>
        <v>#</v>
      </c>
      <c r="K7" t="s">
        <v>498</v>
      </c>
      <c r="L7" t="s">
        <v>508</v>
      </c>
      <c r="M7" t="s">
        <v>509</v>
      </c>
      <c r="N7" t="s">
        <v>508</v>
      </c>
      <c r="O7" t="s">
        <v>509</v>
      </c>
      <c r="P7" t="s">
        <v>508</v>
      </c>
      <c r="R7">
        <v>5</v>
      </c>
      <c r="S7" s="37" t="str">
        <f t="shared" ca="1" si="2"/>
        <v/>
      </c>
      <c r="T7" s="7" t="str">
        <f t="shared" ca="1" si="2"/>
        <v/>
      </c>
      <c r="U7" s="7" t="str">
        <f t="shared" ca="1" si="2"/>
        <v/>
      </c>
      <c r="V7" s="7" t="str">
        <f t="shared" ca="1" si="2"/>
        <v>.</v>
      </c>
      <c r="W7" s="7" t="str">
        <f t="shared" ca="1" si="2"/>
        <v/>
      </c>
      <c r="X7" s="38" t="str">
        <f t="shared" ca="1" si="2"/>
        <v/>
      </c>
      <c r="Z7" t="str">
        <f t="shared" si="3"/>
        <v>{0x00,0x14,0x7f,0x14,0x7f,0x14}, // 0x23  #</v>
      </c>
    </row>
    <row r="8" spans="1:26" x14ac:dyDescent="0.3">
      <c r="A8" s="2">
        <v>36</v>
      </c>
      <c r="B8" t="str">
        <f t="shared" si="4"/>
        <v>0x24</v>
      </c>
      <c r="C8" s="33" t="s">
        <v>510</v>
      </c>
      <c r="D8" t="s">
        <v>497</v>
      </c>
      <c r="E8" t="s">
        <v>497</v>
      </c>
      <c r="F8" t="s">
        <v>503</v>
      </c>
      <c r="G8" t="s">
        <v>511</v>
      </c>
      <c r="H8" t="s">
        <v>512</v>
      </c>
      <c r="I8" t="s">
        <v>497</v>
      </c>
      <c r="J8" s="7" t="str">
        <f t="shared" si="1"/>
        <v>$</v>
      </c>
      <c r="K8" t="s">
        <v>498</v>
      </c>
      <c r="L8" t="s">
        <v>498</v>
      </c>
      <c r="M8" t="s">
        <v>504</v>
      </c>
      <c r="N8" t="s">
        <v>513</v>
      </c>
      <c r="O8" t="s">
        <v>514</v>
      </c>
      <c r="P8" t="s">
        <v>498</v>
      </c>
      <c r="R8">
        <v>4</v>
      </c>
      <c r="S8" s="37" t="str">
        <f t="shared" ca="1" si="2"/>
        <v/>
      </c>
      <c r="T8" s="7" t="str">
        <f t="shared" ca="1" si="2"/>
        <v/>
      </c>
      <c r="U8" s="7" t="str">
        <f t="shared" ca="1" si="2"/>
        <v/>
      </c>
      <c r="V8" s="7" t="str">
        <f t="shared" ca="1" si="2"/>
        <v>.</v>
      </c>
      <c r="W8" s="7" t="str">
        <f t="shared" ca="1" si="2"/>
        <v/>
      </c>
      <c r="X8" s="38" t="str">
        <f t="shared" ca="1" si="2"/>
        <v/>
      </c>
      <c r="Z8" t="str">
        <f t="shared" si="3"/>
        <v>{0x00,0x00,0x07,0x04,0x1e,0x00}, // 0x24  $</v>
      </c>
    </row>
    <row r="9" spans="1:26" x14ac:dyDescent="0.3">
      <c r="A9" s="2">
        <v>37</v>
      </c>
      <c r="B9" t="str">
        <f t="shared" si="4"/>
        <v>0x25</v>
      </c>
      <c r="C9" s="33" t="s">
        <v>515</v>
      </c>
      <c r="D9" t="s">
        <v>497</v>
      </c>
      <c r="E9" t="s">
        <v>516</v>
      </c>
      <c r="F9" t="s">
        <v>517</v>
      </c>
      <c r="G9" t="s">
        <v>518</v>
      </c>
      <c r="H9" t="s">
        <v>519</v>
      </c>
      <c r="I9" t="s">
        <v>520</v>
      </c>
      <c r="J9" s="7" t="str">
        <f t="shared" si="1"/>
        <v>%</v>
      </c>
      <c r="K9" t="s">
        <v>498</v>
      </c>
      <c r="L9" t="s">
        <v>521</v>
      </c>
      <c r="M9" t="s">
        <v>522</v>
      </c>
      <c r="N9" t="s">
        <v>523</v>
      </c>
      <c r="O9" t="s">
        <v>524</v>
      </c>
      <c r="P9" t="s">
        <v>525</v>
      </c>
      <c r="R9">
        <v>3</v>
      </c>
      <c r="S9" s="37" t="str">
        <f t="shared" ca="1" si="2"/>
        <v/>
      </c>
      <c r="T9" s="7" t="str">
        <f t="shared" ca="1" si="2"/>
        <v/>
      </c>
      <c r="U9" s="7" t="str">
        <f t="shared" ca="1" si="2"/>
        <v/>
      </c>
      <c r="V9" s="7" t="str">
        <f t="shared" ca="1" si="2"/>
        <v>.</v>
      </c>
      <c r="W9" s="7" t="str">
        <f t="shared" ca="1" si="2"/>
        <v/>
      </c>
      <c r="X9" s="38" t="str">
        <f t="shared" ca="1" si="2"/>
        <v/>
      </c>
      <c r="Z9" t="str">
        <f t="shared" si="3"/>
        <v>{0x00,0x23,0x13,0x08,0x64,0x62}, // 0x25  %</v>
      </c>
    </row>
    <row r="10" spans="1:26" x14ac:dyDescent="0.3">
      <c r="A10" s="2">
        <v>38</v>
      </c>
      <c r="B10" t="str">
        <f t="shared" si="4"/>
        <v>0x26</v>
      </c>
      <c r="C10" s="33" t="s">
        <v>526</v>
      </c>
      <c r="D10" t="s">
        <v>497</v>
      </c>
      <c r="E10" t="s">
        <v>527</v>
      </c>
      <c r="F10" t="s">
        <v>528</v>
      </c>
      <c r="G10" t="s">
        <v>529</v>
      </c>
      <c r="H10" t="s">
        <v>530</v>
      </c>
      <c r="I10" t="s">
        <v>531</v>
      </c>
      <c r="J10" s="7" t="str">
        <f t="shared" si="1"/>
        <v>&amp;</v>
      </c>
      <c r="K10" t="s">
        <v>498</v>
      </c>
      <c r="L10" t="s">
        <v>532</v>
      </c>
      <c r="M10" t="s">
        <v>533</v>
      </c>
      <c r="N10" t="s">
        <v>534</v>
      </c>
      <c r="O10" t="s">
        <v>535</v>
      </c>
      <c r="P10" t="s">
        <v>536</v>
      </c>
      <c r="R10">
        <v>2</v>
      </c>
      <c r="S10" s="37" t="str">
        <f t="shared" ca="1" si="2"/>
        <v/>
      </c>
      <c r="T10" s="7" t="str">
        <f t="shared" ca="1" si="2"/>
        <v/>
      </c>
      <c r="U10" s="7" t="str">
        <f t="shared" ca="1" si="2"/>
        <v>.</v>
      </c>
      <c r="V10" s="7" t="str">
        <f t="shared" ca="1" si="2"/>
        <v>.</v>
      </c>
      <c r="W10" s="7" t="str">
        <f t="shared" ca="1" si="2"/>
        <v>.</v>
      </c>
      <c r="X10" s="38" t="str">
        <f t="shared" ca="1" si="2"/>
        <v/>
      </c>
      <c r="Z10" t="str">
        <f t="shared" si="3"/>
        <v>{0x00,0x36,0x49,0x56,0x20,0x50}, // 0x26  &amp;</v>
      </c>
    </row>
    <row r="11" spans="1:26" ht="15" thickBot="1" x14ac:dyDescent="0.35">
      <c r="A11" s="2">
        <v>39</v>
      </c>
      <c r="B11" t="str">
        <f t="shared" si="4"/>
        <v>0x27</v>
      </c>
      <c r="C11" s="39" t="s">
        <v>537</v>
      </c>
      <c r="D11" t="s">
        <v>497</v>
      </c>
      <c r="E11" t="s">
        <v>497</v>
      </c>
      <c r="F11" t="s">
        <v>497</v>
      </c>
      <c r="G11" t="s">
        <v>503</v>
      </c>
      <c r="H11" t="s">
        <v>497</v>
      </c>
      <c r="I11" t="s">
        <v>497</v>
      </c>
      <c r="J11" s="7" t="str">
        <f t="shared" si="1"/>
        <v>'</v>
      </c>
      <c r="K11" t="s">
        <v>498</v>
      </c>
      <c r="L11" t="s">
        <v>498</v>
      </c>
      <c r="M11" t="s">
        <v>498</v>
      </c>
      <c r="N11" t="s">
        <v>504</v>
      </c>
      <c r="O11" t="s">
        <v>498</v>
      </c>
      <c r="P11" t="s">
        <v>498</v>
      </c>
      <c r="R11">
        <v>1</v>
      </c>
      <c r="S11" s="40" t="str">
        <f t="shared" ca="1" si="2"/>
        <v/>
      </c>
      <c r="T11" s="41" t="str">
        <f t="shared" ca="1" si="2"/>
        <v/>
      </c>
      <c r="U11" s="41" t="str">
        <f t="shared" ca="1" si="2"/>
        <v/>
      </c>
      <c r="V11" s="41" t="str">
        <f t="shared" ca="1" si="2"/>
        <v/>
      </c>
      <c r="W11" s="41" t="str">
        <f t="shared" ca="1" si="2"/>
        <v/>
      </c>
      <c r="X11" s="42" t="str">
        <f t="shared" ca="1" si="2"/>
        <v/>
      </c>
      <c r="Z11" t="str">
        <f t="shared" si="3"/>
        <v>{0x00,0x00,0x00,0x07,0x00,0x00}, // 0x27  '</v>
      </c>
    </row>
    <row r="12" spans="1:26" ht="15" thickTop="1" x14ac:dyDescent="0.3">
      <c r="A12" s="2">
        <v>40</v>
      </c>
      <c r="B12" t="str">
        <f t="shared" si="4"/>
        <v>0x28</v>
      </c>
      <c r="C12" s="33" t="s">
        <v>538</v>
      </c>
      <c r="D12" t="s">
        <v>497</v>
      </c>
      <c r="E12" t="s">
        <v>497</v>
      </c>
      <c r="F12" t="s">
        <v>539</v>
      </c>
      <c r="G12" t="s">
        <v>540</v>
      </c>
      <c r="H12" t="s">
        <v>541</v>
      </c>
      <c r="I12" t="s">
        <v>497</v>
      </c>
      <c r="J12" s="7" t="str">
        <f t="shared" si="1"/>
        <v>(</v>
      </c>
      <c r="K12" t="s">
        <v>498</v>
      </c>
      <c r="L12" t="s">
        <v>498</v>
      </c>
      <c r="M12" t="s">
        <v>542</v>
      </c>
      <c r="N12" t="s">
        <v>543</v>
      </c>
      <c r="O12" t="s">
        <v>544</v>
      </c>
      <c r="P12" t="s">
        <v>498</v>
      </c>
      <c r="Z12" t="str">
        <f t="shared" si="3"/>
        <v>{0x00,0x00,0x1c,0x22,0x41,0x00}, // 0x28  (</v>
      </c>
    </row>
    <row r="13" spans="1:26" x14ac:dyDescent="0.3">
      <c r="A13" s="2">
        <v>41</v>
      </c>
      <c r="B13" t="str">
        <f t="shared" si="4"/>
        <v>0x29</v>
      </c>
      <c r="C13" s="33" t="s">
        <v>545</v>
      </c>
      <c r="D13" t="s">
        <v>497</v>
      </c>
      <c r="E13" t="s">
        <v>497</v>
      </c>
      <c r="F13" t="s">
        <v>541</v>
      </c>
      <c r="G13" t="s">
        <v>540</v>
      </c>
      <c r="H13" t="s">
        <v>539</v>
      </c>
      <c r="I13" t="s">
        <v>497</v>
      </c>
      <c r="J13" s="7" t="str">
        <f t="shared" si="1"/>
        <v>)</v>
      </c>
      <c r="K13" t="s">
        <v>498</v>
      </c>
      <c r="L13" t="s">
        <v>498</v>
      </c>
      <c r="M13" t="s">
        <v>544</v>
      </c>
      <c r="N13" t="s">
        <v>543</v>
      </c>
      <c r="O13" t="s">
        <v>542</v>
      </c>
      <c r="P13" t="s">
        <v>498</v>
      </c>
      <c r="Z13" t="str">
        <f t="shared" si="3"/>
        <v>{0x00,0x00,0x41,0x22,0x1c,0x00}, // 0x29  )</v>
      </c>
    </row>
    <row r="14" spans="1:26" x14ac:dyDescent="0.3">
      <c r="A14" s="2">
        <v>42</v>
      </c>
      <c r="B14" t="str">
        <f t="shared" si="4"/>
        <v>0x2A</v>
      </c>
      <c r="C14" s="33" t="s">
        <v>546</v>
      </c>
      <c r="D14" t="s">
        <v>497</v>
      </c>
      <c r="E14" t="s">
        <v>506</v>
      </c>
      <c r="F14" t="s">
        <v>518</v>
      </c>
      <c r="G14" t="s">
        <v>547</v>
      </c>
      <c r="H14" t="s">
        <v>518</v>
      </c>
      <c r="I14" t="s">
        <v>506</v>
      </c>
      <c r="J14" s="7" t="str">
        <f t="shared" si="1"/>
        <v>*</v>
      </c>
      <c r="K14" t="s">
        <v>498</v>
      </c>
      <c r="L14" t="s">
        <v>508</v>
      </c>
      <c r="M14" t="s">
        <v>523</v>
      </c>
      <c r="N14" t="s">
        <v>548</v>
      </c>
      <c r="O14" t="s">
        <v>523</v>
      </c>
      <c r="P14" t="s">
        <v>508</v>
      </c>
      <c r="Z14" t="str">
        <f t="shared" si="3"/>
        <v>{0x00,0x14,0x08,0x3e,0x08,0x14}, // 0x2A  *</v>
      </c>
    </row>
    <row r="15" spans="1:26" x14ac:dyDescent="0.3">
      <c r="A15" s="2">
        <v>43</v>
      </c>
      <c r="B15" t="str">
        <f t="shared" si="4"/>
        <v>0x2B</v>
      </c>
      <c r="C15" s="39" t="s">
        <v>549</v>
      </c>
      <c r="D15" t="s">
        <v>497</v>
      </c>
      <c r="E15" t="s">
        <v>518</v>
      </c>
      <c r="F15" t="s">
        <v>518</v>
      </c>
      <c r="G15" t="s">
        <v>547</v>
      </c>
      <c r="H15" t="s">
        <v>518</v>
      </c>
      <c r="I15" t="s">
        <v>518</v>
      </c>
      <c r="J15" s="7" t="str">
        <f t="shared" si="1"/>
        <v>+</v>
      </c>
      <c r="K15" t="s">
        <v>498</v>
      </c>
      <c r="L15" t="s">
        <v>523</v>
      </c>
      <c r="M15" t="s">
        <v>523</v>
      </c>
      <c r="N15" t="s">
        <v>548</v>
      </c>
      <c r="O15" t="s">
        <v>523</v>
      </c>
      <c r="P15" t="s">
        <v>523</v>
      </c>
      <c r="Z15" t="str">
        <f t="shared" si="3"/>
        <v>{0x00,0x08,0x08,0x3e,0x08,0x08}, // 0x2B  +</v>
      </c>
    </row>
    <row r="16" spans="1:26" x14ac:dyDescent="0.3">
      <c r="A16" s="2">
        <v>44</v>
      </c>
      <c r="B16" t="str">
        <f t="shared" si="4"/>
        <v>0x2C</v>
      </c>
      <c r="C16" s="33" t="s">
        <v>550</v>
      </c>
      <c r="D16" t="s">
        <v>497</v>
      </c>
      <c r="E16" t="s">
        <v>497</v>
      </c>
      <c r="F16" t="s">
        <v>531</v>
      </c>
      <c r="G16" t="s">
        <v>551</v>
      </c>
      <c r="H16" t="s">
        <v>497</v>
      </c>
      <c r="I16" t="s">
        <v>497</v>
      </c>
      <c r="J16" s="7" t="str">
        <f t="shared" si="1"/>
        <v>,</v>
      </c>
      <c r="K16" t="s">
        <v>498</v>
      </c>
      <c r="L16" t="s">
        <v>498</v>
      </c>
      <c r="M16" t="s">
        <v>536</v>
      </c>
      <c r="N16" t="s">
        <v>552</v>
      </c>
      <c r="O16" t="s">
        <v>498</v>
      </c>
      <c r="P16" t="s">
        <v>498</v>
      </c>
      <c r="Z16" t="str">
        <f t="shared" si="3"/>
        <v>{0x00,0x00,0x50,0x30,0x00,0x00}, // 0x2C  ,</v>
      </c>
    </row>
    <row r="17" spans="1:26" x14ac:dyDescent="0.3">
      <c r="A17" s="2">
        <v>45</v>
      </c>
      <c r="B17" t="str">
        <f t="shared" si="4"/>
        <v>0x2D</v>
      </c>
      <c r="C17" s="39" t="s">
        <v>553</v>
      </c>
      <c r="D17" t="s">
        <v>497</v>
      </c>
      <c r="E17" t="s">
        <v>518</v>
      </c>
      <c r="F17" t="s">
        <v>518</v>
      </c>
      <c r="G17" t="s">
        <v>518</v>
      </c>
      <c r="H17" t="s">
        <v>518</v>
      </c>
      <c r="I17" t="s">
        <v>518</v>
      </c>
      <c r="J17" s="7" t="str">
        <f t="shared" si="1"/>
        <v>-</v>
      </c>
      <c r="K17" t="s">
        <v>498</v>
      </c>
      <c r="L17" t="s">
        <v>523</v>
      </c>
      <c r="M17" t="s">
        <v>523</v>
      </c>
      <c r="N17" t="s">
        <v>523</v>
      </c>
      <c r="O17" t="s">
        <v>523</v>
      </c>
      <c r="P17" t="s">
        <v>523</v>
      </c>
      <c r="Z17" t="str">
        <f t="shared" si="3"/>
        <v>{0x00,0x08,0x08,0x08,0x08,0x08}, // 0x2D  -</v>
      </c>
    </row>
    <row r="18" spans="1:26" x14ac:dyDescent="0.3">
      <c r="A18" s="2">
        <v>46</v>
      </c>
      <c r="B18" t="str">
        <f t="shared" si="4"/>
        <v>0x2E</v>
      </c>
      <c r="C18" s="39" t="s">
        <v>554</v>
      </c>
      <c r="D18" t="s">
        <v>497</v>
      </c>
      <c r="E18" t="s">
        <v>497</v>
      </c>
      <c r="F18" t="s">
        <v>555</v>
      </c>
      <c r="G18" t="s">
        <v>555</v>
      </c>
      <c r="H18" t="s">
        <v>497</v>
      </c>
      <c r="I18" t="s">
        <v>497</v>
      </c>
      <c r="J18" s="7" t="str">
        <f t="shared" si="1"/>
        <v>.</v>
      </c>
      <c r="K18" t="s">
        <v>498</v>
      </c>
      <c r="L18" t="s">
        <v>498</v>
      </c>
      <c r="M18" t="s">
        <v>556</v>
      </c>
      <c r="N18" t="s">
        <v>556</v>
      </c>
      <c r="O18" t="s">
        <v>498</v>
      </c>
      <c r="P18" t="s">
        <v>498</v>
      </c>
      <c r="Z18" t="str">
        <f t="shared" si="3"/>
        <v>{0x00,0x00,0x60,0x60,0x00,0x00}, // 0x2E  .</v>
      </c>
    </row>
    <row r="19" spans="1:26" x14ac:dyDescent="0.3">
      <c r="A19" s="2">
        <v>47</v>
      </c>
      <c r="B19" t="str">
        <f t="shared" si="4"/>
        <v>0x2F</v>
      </c>
      <c r="C19" s="39" t="s">
        <v>557</v>
      </c>
      <c r="D19" t="s">
        <v>497</v>
      </c>
      <c r="E19" t="s">
        <v>530</v>
      </c>
      <c r="F19" t="s">
        <v>558</v>
      </c>
      <c r="G19" t="s">
        <v>518</v>
      </c>
      <c r="H19" t="s">
        <v>511</v>
      </c>
      <c r="I19" t="s">
        <v>559</v>
      </c>
      <c r="J19" s="7" t="str">
        <f t="shared" si="1"/>
        <v>/</v>
      </c>
      <c r="K19" t="s">
        <v>498</v>
      </c>
      <c r="L19" t="s">
        <v>535</v>
      </c>
      <c r="M19" t="s">
        <v>560</v>
      </c>
      <c r="N19" t="s">
        <v>523</v>
      </c>
      <c r="O19" t="s">
        <v>513</v>
      </c>
      <c r="P19" t="s">
        <v>561</v>
      </c>
      <c r="Z19" t="str">
        <f t="shared" si="3"/>
        <v>{0x00,0x20,0x10,0x08,0x04,0x02}, // 0x2F  /</v>
      </c>
    </row>
    <row r="20" spans="1:26" x14ac:dyDescent="0.3">
      <c r="A20" s="2">
        <v>48</v>
      </c>
      <c r="B20" t="str">
        <f t="shared" si="4"/>
        <v>0x30</v>
      </c>
      <c r="C20" s="33" t="s">
        <v>498</v>
      </c>
      <c r="D20" t="s">
        <v>497</v>
      </c>
      <c r="E20" t="s">
        <v>547</v>
      </c>
      <c r="F20" t="s">
        <v>562</v>
      </c>
      <c r="G20" t="s">
        <v>528</v>
      </c>
      <c r="H20" t="s">
        <v>563</v>
      </c>
      <c r="I20" t="s">
        <v>547</v>
      </c>
      <c r="J20" s="7" t="str">
        <f t="shared" si="1"/>
        <v>0</v>
      </c>
      <c r="K20" t="s">
        <v>498</v>
      </c>
      <c r="L20" t="s">
        <v>548</v>
      </c>
      <c r="M20" t="s">
        <v>564</v>
      </c>
      <c r="N20" t="s">
        <v>533</v>
      </c>
      <c r="O20" t="s">
        <v>565</v>
      </c>
      <c r="P20" t="s">
        <v>548</v>
      </c>
      <c r="Z20" t="str">
        <f t="shared" si="3"/>
        <v>{0x00,0x3e,0x51,0x49,0x45,0x3e}, // 0x30  0</v>
      </c>
    </row>
    <row r="21" spans="1:26" x14ac:dyDescent="0.3">
      <c r="A21" s="2">
        <v>49</v>
      </c>
      <c r="B21" t="str">
        <f t="shared" si="4"/>
        <v>0x31</v>
      </c>
      <c r="C21" s="33" t="s">
        <v>566</v>
      </c>
      <c r="D21" t="s">
        <v>497</v>
      </c>
      <c r="E21" t="s">
        <v>497</v>
      </c>
      <c r="F21" t="s">
        <v>567</v>
      </c>
      <c r="G21" t="s">
        <v>507</v>
      </c>
      <c r="H21" t="s">
        <v>568</v>
      </c>
      <c r="I21" t="s">
        <v>497</v>
      </c>
      <c r="J21" s="7" t="str">
        <f t="shared" si="1"/>
        <v>1</v>
      </c>
      <c r="K21" t="s">
        <v>498</v>
      </c>
      <c r="L21" t="s">
        <v>498</v>
      </c>
      <c r="M21" t="s">
        <v>569</v>
      </c>
      <c r="N21" t="s">
        <v>509</v>
      </c>
      <c r="O21" t="s">
        <v>570</v>
      </c>
      <c r="P21" t="s">
        <v>498</v>
      </c>
      <c r="Z21" t="str">
        <f t="shared" si="3"/>
        <v>{0x00,0x00,0x42,0x7f,0x40,0x00}, // 0x31  1</v>
      </c>
    </row>
    <row r="22" spans="1:26" x14ac:dyDescent="0.3">
      <c r="A22" s="2">
        <v>50</v>
      </c>
      <c r="B22" t="str">
        <f t="shared" si="4"/>
        <v>0x32</v>
      </c>
      <c r="C22" s="33" t="s">
        <v>571</v>
      </c>
      <c r="D22" t="s">
        <v>497</v>
      </c>
      <c r="E22" t="s">
        <v>567</v>
      </c>
      <c r="F22" t="s">
        <v>572</v>
      </c>
      <c r="G22" t="s">
        <v>562</v>
      </c>
      <c r="H22" t="s">
        <v>528</v>
      </c>
      <c r="I22" t="s">
        <v>573</v>
      </c>
      <c r="J22" s="7" t="str">
        <f t="shared" si="1"/>
        <v>2</v>
      </c>
      <c r="K22" t="s">
        <v>498</v>
      </c>
      <c r="L22" t="s">
        <v>569</v>
      </c>
      <c r="M22" t="s">
        <v>574</v>
      </c>
      <c r="N22" t="s">
        <v>564</v>
      </c>
      <c r="O22" t="s">
        <v>533</v>
      </c>
      <c r="P22" t="s">
        <v>575</v>
      </c>
      <c r="Z22" t="str">
        <f t="shared" si="3"/>
        <v>{0x00,0x42,0x61,0x51,0x49,0x46}, // 0x32  2</v>
      </c>
    </row>
    <row r="23" spans="1:26" x14ac:dyDescent="0.3">
      <c r="A23" s="2">
        <v>51</v>
      </c>
      <c r="B23" t="str">
        <f t="shared" si="4"/>
        <v>0x33</v>
      </c>
      <c r="C23" s="33" t="s">
        <v>576</v>
      </c>
      <c r="D23" t="s">
        <v>497</v>
      </c>
      <c r="E23" t="s">
        <v>577</v>
      </c>
      <c r="F23" t="s">
        <v>541</v>
      </c>
      <c r="G23" t="s">
        <v>563</v>
      </c>
      <c r="H23" t="s">
        <v>578</v>
      </c>
      <c r="I23" t="s">
        <v>579</v>
      </c>
      <c r="J23" s="7" t="str">
        <f t="shared" si="1"/>
        <v>3</v>
      </c>
      <c r="K23" t="s">
        <v>498</v>
      </c>
      <c r="L23" t="s">
        <v>580</v>
      </c>
      <c r="M23" t="s">
        <v>544</v>
      </c>
      <c r="N23" t="s">
        <v>565</v>
      </c>
      <c r="O23" t="s">
        <v>581</v>
      </c>
      <c r="P23" t="s">
        <v>582</v>
      </c>
      <c r="Z23" t="str">
        <f t="shared" si="3"/>
        <v>{0x00,0x21,0x41,0x45,0x4b,0x31}, // 0x33  3</v>
      </c>
    </row>
    <row r="24" spans="1:26" x14ac:dyDescent="0.3">
      <c r="A24" s="2">
        <v>52</v>
      </c>
      <c r="B24" t="str">
        <f t="shared" si="4"/>
        <v>0x34</v>
      </c>
      <c r="C24" s="33" t="s">
        <v>583</v>
      </c>
      <c r="D24" t="s">
        <v>497</v>
      </c>
      <c r="E24" t="s">
        <v>584</v>
      </c>
      <c r="F24" t="s">
        <v>506</v>
      </c>
      <c r="G24" t="s">
        <v>585</v>
      </c>
      <c r="H24" t="s">
        <v>507</v>
      </c>
      <c r="I24" t="s">
        <v>558</v>
      </c>
      <c r="J24" s="7" t="str">
        <f t="shared" si="1"/>
        <v>4</v>
      </c>
      <c r="K24" t="s">
        <v>498</v>
      </c>
      <c r="L24" t="s">
        <v>586</v>
      </c>
      <c r="M24" t="s">
        <v>508</v>
      </c>
      <c r="N24" t="s">
        <v>587</v>
      </c>
      <c r="O24" t="s">
        <v>509</v>
      </c>
      <c r="P24" t="s">
        <v>560</v>
      </c>
      <c r="Z24" t="str">
        <f t="shared" si="3"/>
        <v>{0x00,0x18,0x14,0x12,0x7f,0x10}, // 0x34  4</v>
      </c>
    </row>
    <row r="25" spans="1:26" x14ac:dyDescent="0.3">
      <c r="A25" s="2">
        <v>53</v>
      </c>
      <c r="B25" t="str">
        <f t="shared" si="4"/>
        <v>0x35</v>
      </c>
      <c r="C25" s="33" t="s">
        <v>588</v>
      </c>
      <c r="D25" t="s">
        <v>497</v>
      </c>
      <c r="E25" t="s">
        <v>589</v>
      </c>
      <c r="F25" t="s">
        <v>563</v>
      </c>
      <c r="G25" t="s">
        <v>563</v>
      </c>
      <c r="H25" t="s">
        <v>563</v>
      </c>
      <c r="I25" t="s">
        <v>590</v>
      </c>
      <c r="J25" s="7" t="str">
        <f t="shared" si="1"/>
        <v>5</v>
      </c>
      <c r="K25" t="s">
        <v>498</v>
      </c>
      <c r="L25" t="s">
        <v>591</v>
      </c>
      <c r="M25" t="s">
        <v>565</v>
      </c>
      <c r="N25" t="s">
        <v>565</v>
      </c>
      <c r="O25" t="s">
        <v>565</v>
      </c>
      <c r="P25" t="s">
        <v>592</v>
      </c>
      <c r="Z25" t="str">
        <f t="shared" si="3"/>
        <v>{0x00,0x27,0x45,0x45,0x45,0x39}, // 0x35  5</v>
      </c>
    </row>
    <row r="26" spans="1:26" x14ac:dyDescent="0.3">
      <c r="A26" s="2">
        <v>54</v>
      </c>
      <c r="B26" t="str">
        <f t="shared" si="4"/>
        <v>0x36</v>
      </c>
      <c r="C26" s="33" t="s">
        <v>593</v>
      </c>
      <c r="D26" t="s">
        <v>497</v>
      </c>
      <c r="E26" t="s">
        <v>594</v>
      </c>
      <c r="F26" t="s">
        <v>595</v>
      </c>
      <c r="G26" t="s">
        <v>528</v>
      </c>
      <c r="H26" t="s">
        <v>528</v>
      </c>
      <c r="I26" t="s">
        <v>551</v>
      </c>
      <c r="J26" s="7" t="str">
        <f t="shared" si="1"/>
        <v>6</v>
      </c>
      <c r="K26" t="s">
        <v>498</v>
      </c>
      <c r="L26" t="s">
        <v>596</v>
      </c>
      <c r="M26" t="s">
        <v>597</v>
      </c>
      <c r="N26" t="s">
        <v>533</v>
      </c>
      <c r="O26" t="s">
        <v>533</v>
      </c>
      <c r="P26" t="s">
        <v>552</v>
      </c>
      <c r="Z26" t="str">
        <f t="shared" si="3"/>
        <v>{0x00,0x3c,0x4a,0x49,0x49,0x30}, // 0x36  6</v>
      </c>
    </row>
    <row r="27" spans="1:26" x14ac:dyDescent="0.3">
      <c r="A27" s="2">
        <v>55</v>
      </c>
      <c r="B27" t="str">
        <f t="shared" si="4"/>
        <v>0x37</v>
      </c>
      <c r="C27" s="33" t="s">
        <v>598</v>
      </c>
      <c r="D27" t="s">
        <v>497</v>
      </c>
      <c r="E27" t="s">
        <v>599</v>
      </c>
      <c r="F27" t="s">
        <v>600</v>
      </c>
      <c r="G27" t="s">
        <v>601</v>
      </c>
      <c r="H27" t="s">
        <v>602</v>
      </c>
      <c r="I27" t="s">
        <v>603</v>
      </c>
      <c r="J27" s="7" t="str">
        <f t="shared" si="1"/>
        <v>7</v>
      </c>
      <c r="K27" t="s">
        <v>498</v>
      </c>
      <c r="L27" t="s">
        <v>566</v>
      </c>
      <c r="M27" t="s">
        <v>604</v>
      </c>
      <c r="N27" t="s">
        <v>605</v>
      </c>
      <c r="O27" t="s">
        <v>606</v>
      </c>
      <c r="P27" t="s">
        <v>607</v>
      </c>
      <c r="Z27" t="str">
        <f t="shared" si="3"/>
        <v>{0x00,0x01,0x71,0x09,0x05,0x03}, // 0x37  7</v>
      </c>
    </row>
    <row r="28" spans="1:26" x14ac:dyDescent="0.3">
      <c r="A28" s="2">
        <v>56</v>
      </c>
      <c r="B28" t="str">
        <f t="shared" si="4"/>
        <v>0x38</v>
      </c>
      <c r="C28" s="33" t="s">
        <v>608</v>
      </c>
      <c r="D28" t="s">
        <v>497</v>
      </c>
      <c r="E28" t="s">
        <v>527</v>
      </c>
      <c r="F28" t="s">
        <v>528</v>
      </c>
      <c r="G28" t="s">
        <v>528</v>
      </c>
      <c r="H28" t="s">
        <v>528</v>
      </c>
      <c r="I28" t="s">
        <v>527</v>
      </c>
      <c r="J28" s="7" t="str">
        <f t="shared" si="1"/>
        <v>8</v>
      </c>
      <c r="K28" t="s">
        <v>498</v>
      </c>
      <c r="L28" t="s">
        <v>532</v>
      </c>
      <c r="M28" t="s">
        <v>533</v>
      </c>
      <c r="N28" t="s">
        <v>533</v>
      </c>
      <c r="O28" t="s">
        <v>533</v>
      </c>
      <c r="P28" t="s">
        <v>532</v>
      </c>
      <c r="Z28" t="str">
        <f t="shared" si="3"/>
        <v>{0x00,0x36,0x49,0x49,0x49,0x36}, // 0x38  8</v>
      </c>
    </row>
    <row r="29" spans="1:26" x14ac:dyDescent="0.3">
      <c r="A29" s="2">
        <v>57</v>
      </c>
      <c r="B29" t="str">
        <f t="shared" si="4"/>
        <v>0x39</v>
      </c>
      <c r="C29" s="33" t="s">
        <v>609</v>
      </c>
      <c r="D29" t="s">
        <v>497</v>
      </c>
      <c r="E29" t="s">
        <v>610</v>
      </c>
      <c r="F29" t="s">
        <v>528</v>
      </c>
      <c r="G29" t="s">
        <v>528</v>
      </c>
      <c r="H29" t="s">
        <v>611</v>
      </c>
      <c r="I29" t="s">
        <v>512</v>
      </c>
      <c r="J29" s="7" t="str">
        <f t="shared" si="1"/>
        <v>9</v>
      </c>
      <c r="K29" t="s">
        <v>498</v>
      </c>
      <c r="L29" t="s">
        <v>612</v>
      </c>
      <c r="M29" t="s">
        <v>533</v>
      </c>
      <c r="N29" t="s">
        <v>533</v>
      </c>
      <c r="O29" t="s">
        <v>613</v>
      </c>
      <c r="P29" t="s">
        <v>514</v>
      </c>
      <c r="Z29" t="str">
        <f t="shared" si="3"/>
        <v>{0x00,0x06,0x49,0x49,0x29,0x1e}, // 0x39  9</v>
      </c>
    </row>
    <row r="30" spans="1:26" x14ac:dyDescent="0.3">
      <c r="A30" s="2">
        <v>58</v>
      </c>
      <c r="B30" t="str">
        <f t="shared" si="4"/>
        <v>0x3A</v>
      </c>
      <c r="C30" s="33" t="s">
        <v>614</v>
      </c>
      <c r="D30" t="s">
        <v>497</v>
      </c>
      <c r="E30" t="s">
        <v>497</v>
      </c>
      <c r="F30" t="s">
        <v>527</v>
      </c>
      <c r="G30" t="s">
        <v>527</v>
      </c>
      <c r="H30" t="s">
        <v>497</v>
      </c>
      <c r="I30" t="s">
        <v>497</v>
      </c>
      <c r="J30" s="7" t="str">
        <f t="shared" si="1"/>
        <v>:</v>
      </c>
      <c r="K30" t="s">
        <v>498</v>
      </c>
      <c r="L30" t="s">
        <v>498</v>
      </c>
      <c r="M30" t="s">
        <v>532</v>
      </c>
      <c r="N30" t="s">
        <v>532</v>
      </c>
      <c r="O30" t="s">
        <v>498</v>
      </c>
      <c r="P30" t="s">
        <v>498</v>
      </c>
      <c r="Z30" t="str">
        <f t="shared" si="3"/>
        <v>{0x00,0x00,0x36,0x36,0x00,0x00}, // 0x3A  :</v>
      </c>
    </row>
    <row r="31" spans="1:26" x14ac:dyDescent="0.3">
      <c r="A31" s="2">
        <v>59</v>
      </c>
      <c r="B31" t="str">
        <f t="shared" si="4"/>
        <v>0x3B</v>
      </c>
      <c r="C31" s="33" t="s">
        <v>615</v>
      </c>
      <c r="D31" t="s">
        <v>497</v>
      </c>
      <c r="E31" t="s">
        <v>497</v>
      </c>
      <c r="F31" t="s">
        <v>529</v>
      </c>
      <c r="G31" t="s">
        <v>527</v>
      </c>
      <c r="H31" t="s">
        <v>497</v>
      </c>
      <c r="I31" t="s">
        <v>497</v>
      </c>
      <c r="J31" s="7" t="str">
        <f t="shared" si="1"/>
        <v>;</v>
      </c>
      <c r="K31" t="s">
        <v>498</v>
      </c>
      <c r="L31" t="s">
        <v>498</v>
      </c>
      <c r="M31" t="s">
        <v>534</v>
      </c>
      <c r="N31" t="s">
        <v>532</v>
      </c>
      <c r="O31" t="s">
        <v>498</v>
      </c>
      <c r="P31" t="s">
        <v>498</v>
      </c>
      <c r="Z31" t="str">
        <f t="shared" si="3"/>
        <v>{0x00,0x00,0x56,0x36,0x00,0x00}, // 0x3B  ;</v>
      </c>
    </row>
    <row r="32" spans="1:26" x14ac:dyDescent="0.3">
      <c r="A32" s="2">
        <v>60</v>
      </c>
      <c r="B32" t="str">
        <f t="shared" si="4"/>
        <v>0x3C</v>
      </c>
      <c r="C32" s="33" t="s">
        <v>616</v>
      </c>
      <c r="D32" t="s">
        <v>497</v>
      </c>
      <c r="E32" t="s">
        <v>518</v>
      </c>
      <c r="F32" t="s">
        <v>506</v>
      </c>
      <c r="G32" t="s">
        <v>540</v>
      </c>
      <c r="H32" t="s">
        <v>541</v>
      </c>
      <c r="I32" t="s">
        <v>497</v>
      </c>
      <c r="J32" s="7" t="str">
        <f t="shared" si="1"/>
        <v>&lt;</v>
      </c>
      <c r="K32" t="s">
        <v>498</v>
      </c>
      <c r="L32" t="s">
        <v>523</v>
      </c>
      <c r="M32" t="s">
        <v>508</v>
      </c>
      <c r="N32" t="s">
        <v>543</v>
      </c>
      <c r="O32" t="s">
        <v>544</v>
      </c>
      <c r="P32" t="s">
        <v>498</v>
      </c>
      <c r="Z32" t="str">
        <f t="shared" si="3"/>
        <v>{0x00,0x08,0x14,0x22,0x41,0x00}, // 0x3C  &lt;</v>
      </c>
    </row>
    <row r="33" spans="1:26" x14ac:dyDescent="0.3">
      <c r="A33" s="2">
        <v>61</v>
      </c>
      <c r="B33" t="str">
        <f t="shared" si="4"/>
        <v>0x3D</v>
      </c>
      <c r="C33" s="33" t="s">
        <v>617</v>
      </c>
      <c r="D33" t="s">
        <v>497</v>
      </c>
      <c r="E33" t="s">
        <v>506</v>
      </c>
      <c r="F33" t="s">
        <v>506</v>
      </c>
      <c r="G33" t="s">
        <v>506</v>
      </c>
      <c r="H33" t="s">
        <v>506</v>
      </c>
      <c r="I33" t="s">
        <v>506</v>
      </c>
      <c r="J33" s="7" t="str">
        <f t="shared" si="1"/>
        <v>=</v>
      </c>
      <c r="K33" t="s">
        <v>498</v>
      </c>
      <c r="L33" t="s">
        <v>508</v>
      </c>
      <c r="M33" t="s">
        <v>508</v>
      </c>
      <c r="N33" t="s">
        <v>508</v>
      </c>
      <c r="O33" t="s">
        <v>508</v>
      </c>
      <c r="P33" t="s">
        <v>508</v>
      </c>
      <c r="Z33" t="str">
        <f t="shared" si="3"/>
        <v>{0x00,0x14,0x14,0x14,0x14,0x14}, // 0x3D  =</v>
      </c>
    </row>
    <row r="34" spans="1:26" x14ac:dyDescent="0.3">
      <c r="A34" s="2">
        <v>62</v>
      </c>
      <c r="B34" t="str">
        <f t="shared" si="4"/>
        <v>0x3E</v>
      </c>
      <c r="C34" s="33" t="s">
        <v>618</v>
      </c>
      <c r="D34" t="s">
        <v>497</v>
      </c>
      <c r="E34" t="s">
        <v>497</v>
      </c>
      <c r="F34" t="s">
        <v>541</v>
      </c>
      <c r="G34" t="s">
        <v>540</v>
      </c>
      <c r="H34" t="s">
        <v>506</v>
      </c>
      <c r="I34" t="s">
        <v>518</v>
      </c>
      <c r="J34" s="7" t="str">
        <f t="shared" si="1"/>
        <v>&gt;</v>
      </c>
      <c r="K34" t="s">
        <v>498</v>
      </c>
      <c r="L34" t="s">
        <v>498</v>
      </c>
      <c r="M34" t="s">
        <v>544</v>
      </c>
      <c r="N34" t="s">
        <v>543</v>
      </c>
      <c r="O34" t="s">
        <v>508</v>
      </c>
      <c r="P34" t="s">
        <v>523</v>
      </c>
      <c r="Z34" t="str">
        <f t="shared" si="3"/>
        <v>{0x00,0x00,0x41,0x22,0x14,0x08}, // 0x3E  &gt;</v>
      </c>
    </row>
    <row r="35" spans="1:26" x14ac:dyDescent="0.3">
      <c r="A35" s="2">
        <v>63</v>
      </c>
      <c r="B35" t="str">
        <f t="shared" si="4"/>
        <v>0x3F</v>
      </c>
      <c r="C35" s="33" t="s">
        <v>619</v>
      </c>
      <c r="D35" t="s">
        <v>497</v>
      </c>
      <c r="E35" t="s">
        <v>559</v>
      </c>
      <c r="F35" t="s">
        <v>599</v>
      </c>
      <c r="G35" t="s">
        <v>562</v>
      </c>
      <c r="H35" t="s">
        <v>601</v>
      </c>
      <c r="I35" t="s">
        <v>610</v>
      </c>
      <c r="J35" s="7" t="str">
        <f t="shared" si="1"/>
        <v>?</v>
      </c>
      <c r="K35" t="s">
        <v>498</v>
      </c>
      <c r="L35" t="s">
        <v>561</v>
      </c>
      <c r="M35" t="s">
        <v>566</v>
      </c>
      <c r="N35" t="s">
        <v>564</v>
      </c>
      <c r="O35" t="s">
        <v>605</v>
      </c>
      <c r="P35" t="s">
        <v>612</v>
      </c>
      <c r="Z35" t="str">
        <f t="shared" si="3"/>
        <v>{0x00,0x02,0x01,0x51,0x09,0x06}, // 0x3F  ?</v>
      </c>
    </row>
    <row r="36" spans="1:26" x14ac:dyDescent="0.3">
      <c r="A36" s="2">
        <v>64</v>
      </c>
      <c r="B36" t="str">
        <f t="shared" si="4"/>
        <v>0x40</v>
      </c>
      <c r="C36" s="33" t="s">
        <v>620</v>
      </c>
      <c r="D36" t="s">
        <v>497</v>
      </c>
      <c r="E36" t="s">
        <v>547</v>
      </c>
      <c r="F36" t="s">
        <v>541</v>
      </c>
      <c r="G36" t="s">
        <v>621</v>
      </c>
      <c r="H36" t="s">
        <v>528</v>
      </c>
      <c r="I36" t="s">
        <v>622</v>
      </c>
      <c r="J36" s="7" t="str">
        <f t="shared" si="1"/>
        <v>@</v>
      </c>
      <c r="K36" t="s">
        <v>498</v>
      </c>
      <c r="L36" t="s">
        <v>548</v>
      </c>
      <c r="M36" t="s">
        <v>544</v>
      </c>
      <c r="N36" t="s">
        <v>623</v>
      </c>
      <c r="O36" t="s">
        <v>533</v>
      </c>
      <c r="P36" t="s">
        <v>624</v>
      </c>
      <c r="Z36" t="str">
        <f t="shared" si="3"/>
        <v>{0x00,0x3e,0x41,0x5d,0x49,0x4e}, // 0x40  @</v>
      </c>
    </row>
    <row r="37" spans="1:26" x14ac:dyDescent="0.3">
      <c r="A37" s="2">
        <v>65</v>
      </c>
      <c r="B37" t="str">
        <f t="shared" si="4"/>
        <v>0x41</v>
      </c>
      <c r="C37" s="33" t="s">
        <v>625</v>
      </c>
      <c r="D37" t="s">
        <v>497</v>
      </c>
      <c r="E37" t="s">
        <v>626</v>
      </c>
      <c r="F37" t="s">
        <v>601</v>
      </c>
      <c r="G37" t="s">
        <v>601</v>
      </c>
      <c r="H37" t="s">
        <v>601</v>
      </c>
      <c r="I37" t="s">
        <v>626</v>
      </c>
      <c r="J37" s="7" t="str">
        <f t="shared" si="1"/>
        <v>A</v>
      </c>
      <c r="K37" t="s">
        <v>498</v>
      </c>
      <c r="L37" t="s">
        <v>627</v>
      </c>
      <c r="M37" t="s">
        <v>605</v>
      </c>
      <c r="N37" t="s">
        <v>605</v>
      </c>
      <c r="O37" t="s">
        <v>605</v>
      </c>
      <c r="P37" t="s">
        <v>627</v>
      </c>
      <c r="Z37" t="str">
        <f t="shared" si="3"/>
        <v>{0x00,0x7e,0x09,0x09,0x09,0x7e}, // 0x41  A</v>
      </c>
    </row>
    <row r="38" spans="1:26" x14ac:dyDescent="0.3">
      <c r="A38" s="2">
        <v>66</v>
      </c>
      <c r="B38" t="str">
        <f t="shared" si="4"/>
        <v>0x42</v>
      </c>
      <c r="C38" s="33" t="s">
        <v>628</v>
      </c>
      <c r="D38" t="s">
        <v>497</v>
      </c>
      <c r="E38" t="s">
        <v>507</v>
      </c>
      <c r="F38" t="s">
        <v>528</v>
      </c>
      <c r="G38" t="s">
        <v>528</v>
      </c>
      <c r="H38" t="s">
        <v>528</v>
      </c>
      <c r="I38" t="s">
        <v>527</v>
      </c>
      <c r="J38" s="7" t="str">
        <f t="shared" si="1"/>
        <v>B</v>
      </c>
      <c r="K38" t="s">
        <v>498</v>
      </c>
      <c r="L38" t="s">
        <v>509</v>
      </c>
      <c r="M38" t="s">
        <v>533</v>
      </c>
      <c r="N38" t="s">
        <v>533</v>
      </c>
      <c r="O38" t="s">
        <v>533</v>
      </c>
      <c r="P38" t="s">
        <v>532</v>
      </c>
      <c r="Z38" t="str">
        <f t="shared" si="3"/>
        <v>{0x00,0x7f,0x49,0x49,0x49,0x36}, // 0x42  B</v>
      </c>
    </row>
    <row r="39" spans="1:26" x14ac:dyDescent="0.3">
      <c r="A39" s="2">
        <v>67</v>
      </c>
      <c r="B39" t="str">
        <f t="shared" si="4"/>
        <v>0x43</v>
      </c>
      <c r="C39" s="33" t="s">
        <v>629</v>
      </c>
      <c r="D39" t="s">
        <v>497</v>
      </c>
      <c r="E39" t="s">
        <v>547</v>
      </c>
      <c r="F39" t="s">
        <v>541</v>
      </c>
      <c r="G39" t="s">
        <v>541</v>
      </c>
      <c r="H39" t="s">
        <v>541</v>
      </c>
      <c r="I39" t="s">
        <v>540</v>
      </c>
      <c r="J39" s="7" t="str">
        <f t="shared" si="1"/>
        <v>C</v>
      </c>
      <c r="K39" t="s">
        <v>498</v>
      </c>
      <c r="L39" t="s">
        <v>548</v>
      </c>
      <c r="M39" t="s">
        <v>544</v>
      </c>
      <c r="N39" t="s">
        <v>544</v>
      </c>
      <c r="O39" t="s">
        <v>544</v>
      </c>
      <c r="P39" t="s">
        <v>543</v>
      </c>
      <c r="Z39" t="str">
        <f t="shared" si="3"/>
        <v>{0x00,0x3e,0x41,0x41,0x41,0x22}, // 0x43  C</v>
      </c>
    </row>
    <row r="40" spans="1:26" x14ac:dyDescent="0.3">
      <c r="A40" s="2">
        <v>68</v>
      </c>
      <c r="B40" t="str">
        <f t="shared" si="4"/>
        <v>0x44</v>
      </c>
      <c r="C40" s="33" t="s">
        <v>630</v>
      </c>
      <c r="D40" t="s">
        <v>497</v>
      </c>
      <c r="E40" t="s">
        <v>507</v>
      </c>
      <c r="F40" t="s">
        <v>541</v>
      </c>
      <c r="G40" t="s">
        <v>541</v>
      </c>
      <c r="H40" t="s">
        <v>541</v>
      </c>
      <c r="I40" t="s">
        <v>547</v>
      </c>
      <c r="J40" s="7" t="str">
        <f t="shared" si="1"/>
        <v>D</v>
      </c>
      <c r="K40" t="s">
        <v>498</v>
      </c>
      <c r="L40" t="s">
        <v>509</v>
      </c>
      <c r="M40" t="s">
        <v>544</v>
      </c>
      <c r="N40" t="s">
        <v>544</v>
      </c>
      <c r="O40" t="s">
        <v>544</v>
      </c>
      <c r="P40" t="s">
        <v>548</v>
      </c>
      <c r="Z40" t="str">
        <f t="shared" si="3"/>
        <v>{0x00,0x7f,0x41,0x41,0x41,0x3e}, // 0x44  D</v>
      </c>
    </row>
    <row r="41" spans="1:26" x14ac:dyDescent="0.3">
      <c r="A41" s="2">
        <v>69</v>
      </c>
      <c r="B41" t="str">
        <f t="shared" si="4"/>
        <v>0x45</v>
      </c>
      <c r="C41" s="33" t="s">
        <v>631</v>
      </c>
      <c r="D41" t="s">
        <v>497</v>
      </c>
      <c r="E41" t="s">
        <v>507</v>
      </c>
      <c r="F41" t="s">
        <v>528</v>
      </c>
      <c r="G41" t="s">
        <v>528</v>
      </c>
      <c r="H41" t="s">
        <v>528</v>
      </c>
      <c r="I41" t="s">
        <v>541</v>
      </c>
      <c r="J41" s="7" t="str">
        <f t="shared" si="1"/>
        <v>E</v>
      </c>
      <c r="K41" t="s">
        <v>498</v>
      </c>
      <c r="L41" t="s">
        <v>509</v>
      </c>
      <c r="M41" t="s">
        <v>533</v>
      </c>
      <c r="N41" t="s">
        <v>533</v>
      </c>
      <c r="O41" t="s">
        <v>533</v>
      </c>
      <c r="P41" t="s">
        <v>544</v>
      </c>
      <c r="Z41" t="str">
        <f t="shared" si="3"/>
        <v>{0x00,0x7f,0x49,0x49,0x49,0x41}, // 0x45  E</v>
      </c>
    </row>
    <row r="42" spans="1:26" x14ac:dyDescent="0.3">
      <c r="A42" s="2">
        <v>70</v>
      </c>
      <c r="B42" t="str">
        <f t="shared" si="4"/>
        <v>0x46</v>
      </c>
      <c r="C42" s="33" t="s">
        <v>632</v>
      </c>
      <c r="D42" t="s">
        <v>497</v>
      </c>
      <c r="E42" t="s">
        <v>507</v>
      </c>
      <c r="F42" t="s">
        <v>601</v>
      </c>
      <c r="G42" t="s">
        <v>601</v>
      </c>
      <c r="H42" t="s">
        <v>601</v>
      </c>
      <c r="I42" t="s">
        <v>599</v>
      </c>
      <c r="J42" s="7" t="str">
        <f t="shared" si="1"/>
        <v>F</v>
      </c>
      <c r="K42" t="s">
        <v>498</v>
      </c>
      <c r="L42" t="s">
        <v>509</v>
      </c>
      <c r="M42" t="s">
        <v>605</v>
      </c>
      <c r="N42" t="s">
        <v>605</v>
      </c>
      <c r="O42" t="s">
        <v>605</v>
      </c>
      <c r="P42" t="s">
        <v>566</v>
      </c>
      <c r="Z42" t="str">
        <f t="shared" si="3"/>
        <v>{0x00,0x7f,0x09,0x09,0x09,0x01}, // 0x46  F</v>
      </c>
    </row>
    <row r="43" spans="1:26" x14ac:dyDescent="0.3">
      <c r="A43" s="2">
        <v>71</v>
      </c>
      <c r="B43" t="str">
        <f t="shared" si="4"/>
        <v>0x47</v>
      </c>
      <c r="C43" s="33" t="s">
        <v>633</v>
      </c>
      <c r="D43" t="s">
        <v>497</v>
      </c>
      <c r="E43" t="s">
        <v>547</v>
      </c>
      <c r="F43" t="s">
        <v>541</v>
      </c>
      <c r="G43" t="s">
        <v>528</v>
      </c>
      <c r="H43" t="s">
        <v>528</v>
      </c>
      <c r="I43" t="s">
        <v>634</v>
      </c>
      <c r="J43" s="7" t="str">
        <f t="shared" si="1"/>
        <v>G</v>
      </c>
      <c r="K43" t="s">
        <v>498</v>
      </c>
      <c r="L43" t="s">
        <v>548</v>
      </c>
      <c r="M43" t="s">
        <v>544</v>
      </c>
      <c r="N43" t="s">
        <v>533</v>
      </c>
      <c r="O43" t="s">
        <v>533</v>
      </c>
      <c r="P43" t="s">
        <v>635</v>
      </c>
      <c r="Z43" t="str">
        <f t="shared" si="3"/>
        <v>{0x00,0x3e,0x41,0x49,0x49,0x7a}, // 0x47  G</v>
      </c>
    </row>
    <row r="44" spans="1:26" x14ac:dyDescent="0.3">
      <c r="A44" s="2">
        <v>72</v>
      </c>
      <c r="B44" t="str">
        <f t="shared" si="4"/>
        <v>0x48</v>
      </c>
      <c r="C44" s="33" t="s">
        <v>636</v>
      </c>
      <c r="D44" t="s">
        <v>497</v>
      </c>
      <c r="E44" t="s">
        <v>507</v>
      </c>
      <c r="F44" t="s">
        <v>518</v>
      </c>
      <c r="G44" t="s">
        <v>518</v>
      </c>
      <c r="H44" t="s">
        <v>518</v>
      </c>
      <c r="I44" t="s">
        <v>507</v>
      </c>
      <c r="J44" s="7" t="str">
        <f t="shared" si="1"/>
        <v>H</v>
      </c>
      <c r="K44" t="s">
        <v>498</v>
      </c>
      <c r="L44" t="s">
        <v>509</v>
      </c>
      <c r="M44" t="s">
        <v>523</v>
      </c>
      <c r="N44" t="s">
        <v>523</v>
      </c>
      <c r="O44" t="s">
        <v>523</v>
      </c>
      <c r="P44" t="s">
        <v>509</v>
      </c>
      <c r="Z44" t="str">
        <f t="shared" si="3"/>
        <v>{0x00,0x7f,0x08,0x08,0x08,0x7f}, // 0x48  H</v>
      </c>
    </row>
    <row r="45" spans="1:26" x14ac:dyDescent="0.3">
      <c r="A45" s="2">
        <v>73</v>
      </c>
      <c r="B45" t="str">
        <f t="shared" si="4"/>
        <v>0x49</v>
      </c>
      <c r="C45" s="33" t="s">
        <v>637</v>
      </c>
      <c r="D45" t="s">
        <v>497</v>
      </c>
      <c r="E45" t="s">
        <v>497</v>
      </c>
      <c r="F45" t="s">
        <v>541</v>
      </c>
      <c r="G45" t="s">
        <v>507</v>
      </c>
      <c r="H45" t="s">
        <v>541</v>
      </c>
      <c r="I45" t="s">
        <v>497</v>
      </c>
      <c r="J45" s="7" t="str">
        <f t="shared" si="1"/>
        <v>I</v>
      </c>
      <c r="K45" t="s">
        <v>498</v>
      </c>
      <c r="L45" t="s">
        <v>498</v>
      </c>
      <c r="M45" t="s">
        <v>544</v>
      </c>
      <c r="N45" t="s">
        <v>509</v>
      </c>
      <c r="O45" t="s">
        <v>544</v>
      </c>
      <c r="P45" t="s">
        <v>498</v>
      </c>
      <c r="Z45" t="str">
        <f t="shared" si="3"/>
        <v>{0x00,0x00,0x41,0x7f,0x41,0x00}, // 0x49  I</v>
      </c>
    </row>
    <row r="46" spans="1:26" x14ac:dyDescent="0.3">
      <c r="A46" s="2">
        <v>74</v>
      </c>
      <c r="B46" t="str">
        <f t="shared" si="4"/>
        <v>0x4A</v>
      </c>
      <c r="C46" s="33" t="s">
        <v>638</v>
      </c>
      <c r="D46" t="s">
        <v>497</v>
      </c>
      <c r="E46" t="s">
        <v>530</v>
      </c>
      <c r="F46" t="s">
        <v>568</v>
      </c>
      <c r="G46" t="s">
        <v>541</v>
      </c>
      <c r="H46" t="s">
        <v>639</v>
      </c>
      <c r="I46" t="s">
        <v>599</v>
      </c>
      <c r="J46" s="7" t="str">
        <f t="shared" si="1"/>
        <v>J</v>
      </c>
      <c r="K46" t="s">
        <v>498</v>
      </c>
      <c r="L46" t="s">
        <v>535</v>
      </c>
      <c r="M46" t="s">
        <v>570</v>
      </c>
      <c r="N46" t="s">
        <v>544</v>
      </c>
      <c r="O46" t="s">
        <v>640</v>
      </c>
      <c r="P46" t="s">
        <v>566</v>
      </c>
      <c r="Z46" t="str">
        <f t="shared" si="3"/>
        <v>{0x00,0x20,0x40,0x41,0x3f,0x01}, // 0x4A  J</v>
      </c>
    </row>
    <row r="47" spans="1:26" x14ac:dyDescent="0.3">
      <c r="A47" s="2">
        <v>75</v>
      </c>
      <c r="B47" t="str">
        <f t="shared" si="4"/>
        <v>0x4B</v>
      </c>
      <c r="C47" s="33" t="s">
        <v>641</v>
      </c>
      <c r="D47" t="s">
        <v>497</v>
      </c>
      <c r="E47" t="s">
        <v>507</v>
      </c>
      <c r="F47" t="s">
        <v>518</v>
      </c>
      <c r="G47" t="s">
        <v>506</v>
      </c>
      <c r="H47" t="s">
        <v>540</v>
      </c>
      <c r="I47" t="s">
        <v>541</v>
      </c>
      <c r="J47" s="7" t="str">
        <f t="shared" si="1"/>
        <v>K</v>
      </c>
      <c r="K47" t="s">
        <v>498</v>
      </c>
      <c r="L47" t="s">
        <v>509</v>
      </c>
      <c r="M47" t="s">
        <v>523</v>
      </c>
      <c r="N47" t="s">
        <v>508</v>
      </c>
      <c r="O47" t="s">
        <v>543</v>
      </c>
      <c r="P47" t="s">
        <v>544</v>
      </c>
      <c r="Z47" t="str">
        <f t="shared" si="3"/>
        <v>{0x00,0x7f,0x08,0x14,0x22,0x41}, // 0x4B  K</v>
      </c>
    </row>
    <row r="48" spans="1:26" x14ac:dyDescent="0.3">
      <c r="A48" s="2">
        <v>76</v>
      </c>
      <c r="B48" t="str">
        <f t="shared" si="4"/>
        <v>0x4C</v>
      </c>
      <c r="C48" s="33" t="s">
        <v>642</v>
      </c>
      <c r="D48" t="s">
        <v>497</v>
      </c>
      <c r="E48" t="s">
        <v>507</v>
      </c>
      <c r="F48" t="s">
        <v>568</v>
      </c>
      <c r="G48" t="s">
        <v>568</v>
      </c>
      <c r="H48" t="s">
        <v>568</v>
      </c>
      <c r="I48" t="s">
        <v>568</v>
      </c>
      <c r="J48" s="7" t="str">
        <f t="shared" si="1"/>
        <v>L</v>
      </c>
      <c r="K48" t="s">
        <v>498</v>
      </c>
      <c r="L48" t="s">
        <v>509</v>
      </c>
      <c r="M48" t="s">
        <v>570</v>
      </c>
      <c r="N48" t="s">
        <v>570</v>
      </c>
      <c r="O48" t="s">
        <v>570</v>
      </c>
      <c r="P48" t="s">
        <v>570</v>
      </c>
      <c r="Z48" t="str">
        <f t="shared" si="3"/>
        <v>{0x00,0x7f,0x40,0x40,0x40,0x40}, // 0x4C  L</v>
      </c>
    </row>
    <row r="49" spans="1:26" x14ac:dyDescent="0.3">
      <c r="A49" s="2">
        <v>77</v>
      </c>
      <c r="B49" t="str">
        <f t="shared" si="4"/>
        <v>0x4D</v>
      </c>
      <c r="C49" s="33" t="s">
        <v>643</v>
      </c>
      <c r="D49" t="s">
        <v>497</v>
      </c>
      <c r="E49" t="s">
        <v>507</v>
      </c>
      <c r="F49" t="s">
        <v>559</v>
      </c>
      <c r="G49" t="s">
        <v>644</v>
      </c>
      <c r="H49" t="s">
        <v>559</v>
      </c>
      <c r="I49" t="s">
        <v>507</v>
      </c>
      <c r="J49" s="7" t="str">
        <f t="shared" si="1"/>
        <v>M</v>
      </c>
      <c r="K49" t="s">
        <v>498</v>
      </c>
      <c r="L49" t="s">
        <v>509</v>
      </c>
      <c r="M49" t="s">
        <v>561</v>
      </c>
      <c r="N49" t="s">
        <v>645</v>
      </c>
      <c r="O49" t="s">
        <v>561</v>
      </c>
      <c r="P49" t="s">
        <v>509</v>
      </c>
      <c r="Z49" t="str">
        <f t="shared" si="3"/>
        <v>{0x00,0x7f,0x02,0x0c,0x02,0x7f}, // 0x4D  M</v>
      </c>
    </row>
    <row r="50" spans="1:26" x14ac:dyDescent="0.3">
      <c r="A50" s="2">
        <v>78</v>
      </c>
      <c r="B50" t="str">
        <f t="shared" si="4"/>
        <v>0x4E</v>
      </c>
      <c r="C50" s="33" t="s">
        <v>646</v>
      </c>
      <c r="D50" t="s">
        <v>497</v>
      </c>
      <c r="E50" t="s">
        <v>507</v>
      </c>
      <c r="F50" t="s">
        <v>511</v>
      </c>
      <c r="G50" t="s">
        <v>518</v>
      </c>
      <c r="H50" t="s">
        <v>558</v>
      </c>
      <c r="I50" t="s">
        <v>507</v>
      </c>
      <c r="J50" s="7" t="str">
        <f t="shared" si="1"/>
        <v>N</v>
      </c>
      <c r="K50" t="s">
        <v>498</v>
      </c>
      <c r="L50" t="s">
        <v>509</v>
      </c>
      <c r="M50" t="s">
        <v>513</v>
      </c>
      <c r="N50" t="s">
        <v>523</v>
      </c>
      <c r="O50" t="s">
        <v>560</v>
      </c>
      <c r="P50" t="s">
        <v>509</v>
      </c>
      <c r="Z50" t="str">
        <f t="shared" si="3"/>
        <v>{0x00,0x7f,0x04,0x08,0x10,0x7f}, // 0x4E  N</v>
      </c>
    </row>
    <row r="51" spans="1:26" x14ac:dyDescent="0.3">
      <c r="A51" s="2">
        <v>79</v>
      </c>
      <c r="B51" t="str">
        <f t="shared" si="4"/>
        <v>0x4F</v>
      </c>
      <c r="C51" s="33" t="s">
        <v>647</v>
      </c>
      <c r="D51" t="s">
        <v>497</v>
      </c>
      <c r="E51" t="s">
        <v>547</v>
      </c>
      <c r="F51" t="s">
        <v>541</v>
      </c>
      <c r="G51" t="s">
        <v>541</v>
      </c>
      <c r="H51" t="s">
        <v>541</v>
      </c>
      <c r="I51" t="s">
        <v>547</v>
      </c>
      <c r="J51" s="7" t="str">
        <f t="shared" si="1"/>
        <v>O</v>
      </c>
      <c r="K51" t="s">
        <v>498</v>
      </c>
      <c r="L51" t="s">
        <v>548</v>
      </c>
      <c r="M51" t="s">
        <v>544</v>
      </c>
      <c r="N51" t="s">
        <v>544</v>
      </c>
      <c r="O51" t="s">
        <v>544</v>
      </c>
      <c r="P51" t="s">
        <v>548</v>
      </c>
      <c r="Z51" t="str">
        <f t="shared" si="3"/>
        <v>{0x00,0x3e,0x41,0x41,0x41,0x3e}, // 0x4F  O</v>
      </c>
    </row>
    <row r="52" spans="1:26" x14ac:dyDescent="0.3">
      <c r="A52" s="2">
        <v>80</v>
      </c>
      <c r="B52" t="str">
        <f t="shared" si="4"/>
        <v>0x50</v>
      </c>
      <c r="C52" s="33" t="s">
        <v>648</v>
      </c>
      <c r="D52" t="s">
        <v>497</v>
      </c>
      <c r="E52" t="s">
        <v>507</v>
      </c>
      <c r="F52" t="s">
        <v>601</v>
      </c>
      <c r="G52" t="s">
        <v>601</v>
      </c>
      <c r="H52" t="s">
        <v>601</v>
      </c>
      <c r="I52" t="s">
        <v>610</v>
      </c>
      <c r="J52" s="7" t="str">
        <f t="shared" si="1"/>
        <v>P</v>
      </c>
      <c r="K52" t="s">
        <v>498</v>
      </c>
      <c r="L52" t="s">
        <v>509</v>
      </c>
      <c r="M52" t="s">
        <v>605</v>
      </c>
      <c r="N52" t="s">
        <v>605</v>
      </c>
      <c r="O52" t="s">
        <v>605</v>
      </c>
      <c r="P52" t="s">
        <v>612</v>
      </c>
      <c r="Z52" t="str">
        <f t="shared" si="3"/>
        <v>{0x00,0x7f,0x09,0x09,0x09,0x06}, // 0x50  P</v>
      </c>
    </row>
    <row r="53" spans="1:26" x14ac:dyDescent="0.3">
      <c r="A53" s="2">
        <v>81</v>
      </c>
      <c r="B53" t="str">
        <f t="shared" si="4"/>
        <v>0x51</v>
      </c>
      <c r="C53" s="33" t="s">
        <v>649</v>
      </c>
      <c r="D53" t="s">
        <v>497</v>
      </c>
      <c r="E53" t="s">
        <v>547</v>
      </c>
      <c r="F53" t="s">
        <v>541</v>
      </c>
      <c r="G53" t="s">
        <v>562</v>
      </c>
      <c r="H53" t="s">
        <v>577</v>
      </c>
      <c r="I53" t="s">
        <v>650</v>
      </c>
      <c r="J53" s="7" t="str">
        <f t="shared" si="1"/>
        <v>Q</v>
      </c>
      <c r="K53" t="s">
        <v>498</v>
      </c>
      <c r="L53" t="s">
        <v>548</v>
      </c>
      <c r="M53" t="s">
        <v>544</v>
      </c>
      <c r="N53" t="s">
        <v>564</v>
      </c>
      <c r="O53" t="s">
        <v>580</v>
      </c>
      <c r="P53" t="s">
        <v>651</v>
      </c>
      <c r="Z53" t="str">
        <f t="shared" si="3"/>
        <v>{0x00,0x3e,0x41,0x51,0x21,0x5e}, // 0x51  Q</v>
      </c>
    </row>
    <row r="54" spans="1:26" x14ac:dyDescent="0.3">
      <c r="A54" s="2">
        <v>82</v>
      </c>
      <c r="B54" t="str">
        <f t="shared" si="4"/>
        <v>0x52</v>
      </c>
      <c r="C54" s="33" t="s">
        <v>652</v>
      </c>
      <c r="D54" t="s">
        <v>497</v>
      </c>
      <c r="E54" t="s">
        <v>507</v>
      </c>
      <c r="F54" t="s">
        <v>601</v>
      </c>
      <c r="G54" t="s">
        <v>653</v>
      </c>
      <c r="H54" t="s">
        <v>611</v>
      </c>
      <c r="I54" t="s">
        <v>573</v>
      </c>
      <c r="J54" s="7" t="str">
        <f t="shared" si="1"/>
        <v>R</v>
      </c>
      <c r="K54" t="s">
        <v>498</v>
      </c>
      <c r="L54" t="s">
        <v>509</v>
      </c>
      <c r="M54" t="s">
        <v>605</v>
      </c>
      <c r="N54" t="s">
        <v>654</v>
      </c>
      <c r="O54" t="s">
        <v>613</v>
      </c>
      <c r="P54" t="s">
        <v>575</v>
      </c>
      <c r="Z54" t="str">
        <f t="shared" si="3"/>
        <v>{0x00,0x7f,0x09,0x19,0x29,0x46}, // 0x52  R</v>
      </c>
    </row>
    <row r="55" spans="1:26" x14ac:dyDescent="0.3">
      <c r="A55" s="2">
        <v>83</v>
      </c>
      <c r="B55" t="str">
        <f t="shared" si="4"/>
        <v>0x53</v>
      </c>
      <c r="C55" s="33" t="s">
        <v>655</v>
      </c>
      <c r="D55" t="s">
        <v>497</v>
      </c>
      <c r="E55" t="s">
        <v>573</v>
      </c>
      <c r="F55" t="s">
        <v>528</v>
      </c>
      <c r="G55" t="s">
        <v>528</v>
      </c>
      <c r="H55" t="s">
        <v>528</v>
      </c>
      <c r="I55" t="s">
        <v>579</v>
      </c>
      <c r="J55" s="7" t="str">
        <f t="shared" si="1"/>
        <v>S</v>
      </c>
      <c r="K55" t="s">
        <v>498</v>
      </c>
      <c r="L55" t="s">
        <v>575</v>
      </c>
      <c r="M55" t="s">
        <v>533</v>
      </c>
      <c r="N55" t="s">
        <v>533</v>
      </c>
      <c r="O55" t="s">
        <v>533</v>
      </c>
      <c r="P55" t="s">
        <v>582</v>
      </c>
      <c r="Z55" t="str">
        <f t="shared" si="3"/>
        <v>{0x00,0x46,0x49,0x49,0x49,0x31}, // 0x53  S</v>
      </c>
    </row>
    <row r="56" spans="1:26" x14ac:dyDescent="0.3">
      <c r="A56" s="2">
        <v>84</v>
      </c>
      <c r="B56" t="str">
        <f t="shared" si="4"/>
        <v>0x54</v>
      </c>
      <c r="C56" s="33" t="s">
        <v>656</v>
      </c>
      <c r="D56" t="s">
        <v>497</v>
      </c>
      <c r="E56" t="s">
        <v>599</v>
      </c>
      <c r="F56" t="s">
        <v>599</v>
      </c>
      <c r="G56" t="s">
        <v>507</v>
      </c>
      <c r="H56" t="s">
        <v>599</v>
      </c>
      <c r="I56" t="s">
        <v>599</v>
      </c>
      <c r="J56" s="7" t="str">
        <f t="shared" si="1"/>
        <v>T</v>
      </c>
      <c r="K56" t="s">
        <v>498</v>
      </c>
      <c r="L56" t="s">
        <v>566</v>
      </c>
      <c r="M56" t="s">
        <v>566</v>
      </c>
      <c r="N56" t="s">
        <v>509</v>
      </c>
      <c r="O56" t="s">
        <v>566</v>
      </c>
      <c r="P56" t="s">
        <v>566</v>
      </c>
      <c r="Z56" t="str">
        <f t="shared" si="3"/>
        <v>{0x00,0x01,0x01,0x7f,0x01,0x01}, // 0x54  T</v>
      </c>
    </row>
    <row r="57" spans="1:26" x14ac:dyDescent="0.3">
      <c r="A57" s="2">
        <v>85</v>
      </c>
      <c r="B57" t="str">
        <f t="shared" si="4"/>
        <v>0x55</v>
      </c>
      <c r="C57" s="33" t="s">
        <v>657</v>
      </c>
      <c r="D57" t="s">
        <v>497</v>
      </c>
      <c r="E57" t="s">
        <v>639</v>
      </c>
      <c r="F57" t="s">
        <v>568</v>
      </c>
      <c r="G57" t="s">
        <v>568</v>
      </c>
      <c r="H57" t="s">
        <v>568</v>
      </c>
      <c r="I57" t="s">
        <v>639</v>
      </c>
      <c r="J57" s="7" t="str">
        <f t="shared" si="1"/>
        <v>U</v>
      </c>
      <c r="K57" t="s">
        <v>498</v>
      </c>
      <c r="L57" t="s">
        <v>640</v>
      </c>
      <c r="M57" t="s">
        <v>570</v>
      </c>
      <c r="N57" t="s">
        <v>570</v>
      </c>
      <c r="O57" t="s">
        <v>570</v>
      </c>
      <c r="P57" t="s">
        <v>640</v>
      </c>
      <c r="Z57" t="str">
        <f t="shared" si="3"/>
        <v>{0x00,0x3f,0x40,0x40,0x40,0x3f}, // 0x55  U</v>
      </c>
    </row>
    <row r="58" spans="1:26" x14ac:dyDescent="0.3">
      <c r="A58" s="2">
        <v>86</v>
      </c>
      <c r="B58" t="str">
        <f t="shared" si="4"/>
        <v>0x56</v>
      </c>
      <c r="C58" s="33" t="s">
        <v>658</v>
      </c>
      <c r="D58" t="s">
        <v>497</v>
      </c>
      <c r="E58" t="s">
        <v>659</v>
      </c>
      <c r="F58" t="s">
        <v>551</v>
      </c>
      <c r="G58" t="s">
        <v>568</v>
      </c>
      <c r="H58" t="s">
        <v>551</v>
      </c>
      <c r="I58" t="s">
        <v>659</v>
      </c>
      <c r="J58" s="7" t="str">
        <f t="shared" si="1"/>
        <v>V</v>
      </c>
      <c r="K58" t="s">
        <v>498</v>
      </c>
      <c r="L58" t="s">
        <v>660</v>
      </c>
      <c r="M58" t="s">
        <v>552</v>
      </c>
      <c r="N58" t="s">
        <v>570</v>
      </c>
      <c r="O58" t="s">
        <v>552</v>
      </c>
      <c r="P58" t="s">
        <v>660</v>
      </c>
      <c r="Z58" t="str">
        <f t="shared" si="3"/>
        <v>{0x00,0x0f,0x30,0x40,0x30,0x0f}, // 0x56  V</v>
      </c>
    </row>
    <row r="59" spans="1:26" x14ac:dyDescent="0.3">
      <c r="A59" s="2">
        <v>87</v>
      </c>
      <c r="B59" t="str">
        <f t="shared" si="4"/>
        <v>0x57</v>
      </c>
      <c r="C59" s="33" t="s">
        <v>661</v>
      </c>
      <c r="D59" t="s">
        <v>497</v>
      </c>
      <c r="E59" t="s">
        <v>639</v>
      </c>
      <c r="F59" t="s">
        <v>568</v>
      </c>
      <c r="G59" t="s">
        <v>551</v>
      </c>
      <c r="H59" t="s">
        <v>568</v>
      </c>
      <c r="I59" t="s">
        <v>639</v>
      </c>
      <c r="J59" s="7" t="str">
        <f t="shared" si="1"/>
        <v>W</v>
      </c>
      <c r="K59" t="s">
        <v>498</v>
      </c>
      <c r="L59" t="s">
        <v>640</v>
      </c>
      <c r="M59" t="s">
        <v>570</v>
      </c>
      <c r="N59" t="s">
        <v>552</v>
      </c>
      <c r="O59" t="s">
        <v>570</v>
      </c>
      <c r="P59" t="s">
        <v>640</v>
      </c>
      <c r="Z59" t="str">
        <f t="shared" si="3"/>
        <v>{0x00,0x3f,0x40,0x30,0x40,0x3f}, // 0x57  W</v>
      </c>
    </row>
    <row r="60" spans="1:26" x14ac:dyDescent="0.3">
      <c r="A60" s="2">
        <v>88</v>
      </c>
      <c r="B60" t="str">
        <f t="shared" si="4"/>
        <v>0x58</v>
      </c>
      <c r="C60" s="33" t="s">
        <v>662</v>
      </c>
      <c r="D60" t="s">
        <v>497</v>
      </c>
      <c r="E60" t="s">
        <v>663</v>
      </c>
      <c r="F60" t="s">
        <v>506</v>
      </c>
      <c r="G60" t="s">
        <v>518</v>
      </c>
      <c r="H60" t="s">
        <v>506</v>
      </c>
      <c r="I60" t="s">
        <v>663</v>
      </c>
      <c r="J60" s="7" t="str">
        <f t="shared" si="1"/>
        <v>X</v>
      </c>
      <c r="K60" t="s">
        <v>498</v>
      </c>
      <c r="L60" t="s">
        <v>664</v>
      </c>
      <c r="M60" t="s">
        <v>508</v>
      </c>
      <c r="N60" t="s">
        <v>523</v>
      </c>
      <c r="O60" t="s">
        <v>508</v>
      </c>
      <c r="P60" t="s">
        <v>664</v>
      </c>
      <c r="Z60" t="str">
        <f t="shared" si="3"/>
        <v>{0x00,0x63,0x14,0x08,0x14,0x63}, // 0x58  X</v>
      </c>
    </row>
    <row r="61" spans="1:26" x14ac:dyDescent="0.3">
      <c r="A61" s="2">
        <v>89</v>
      </c>
      <c r="B61" t="str">
        <f t="shared" si="4"/>
        <v>0x59</v>
      </c>
      <c r="C61" s="33" t="s">
        <v>116</v>
      </c>
      <c r="D61" t="s">
        <v>497</v>
      </c>
      <c r="E61" t="s">
        <v>503</v>
      </c>
      <c r="F61" t="s">
        <v>518</v>
      </c>
      <c r="G61" t="s">
        <v>665</v>
      </c>
      <c r="H61" t="s">
        <v>518</v>
      </c>
      <c r="I61" t="s">
        <v>503</v>
      </c>
      <c r="J61" s="7" t="str">
        <f t="shared" si="1"/>
        <v>Y</v>
      </c>
      <c r="K61" t="s">
        <v>498</v>
      </c>
      <c r="L61" t="s">
        <v>504</v>
      </c>
      <c r="M61" t="s">
        <v>523</v>
      </c>
      <c r="N61" t="s">
        <v>666</v>
      </c>
      <c r="O61" t="s">
        <v>523</v>
      </c>
      <c r="P61" t="s">
        <v>504</v>
      </c>
      <c r="Z61" t="str">
        <f t="shared" si="3"/>
        <v>{0x00,0x07,0x08,0x70,0x08,0x07}, // 0x59  Y</v>
      </c>
    </row>
    <row r="62" spans="1:26" x14ac:dyDescent="0.3">
      <c r="A62" s="2">
        <v>90</v>
      </c>
      <c r="B62" t="str">
        <f t="shared" si="4"/>
        <v>0x5A</v>
      </c>
      <c r="C62" s="33" t="s">
        <v>667</v>
      </c>
      <c r="D62" t="s">
        <v>497</v>
      </c>
      <c r="E62" t="s">
        <v>572</v>
      </c>
      <c r="F62" t="s">
        <v>562</v>
      </c>
      <c r="G62" t="s">
        <v>528</v>
      </c>
      <c r="H62" t="s">
        <v>563</v>
      </c>
      <c r="I62" t="s">
        <v>668</v>
      </c>
      <c r="J62" s="7" t="str">
        <f t="shared" si="1"/>
        <v>Z</v>
      </c>
      <c r="K62" t="s">
        <v>498</v>
      </c>
      <c r="L62" t="s">
        <v>574</v>
      </c>
      <c r="M62" t="s">
        <v>564</v>
      </c>
      <c r="N62" t="s">
        <v>533</v>
      </c>
      <c r="O62" t="s">
        <v>565</v>
      </c>
      <c r="P62" t="s">
        <v>669</v>
      </c>
      <c r="Z62" t="str">
        <f t="shared" si="3"/>
        <v>{0x00,0x61,0x51,0x49,0x45,0x43}, // 0x5A  Z</v>
      </c>
    </row>
    <row r="63" spans="1:26" x14ac:dyDescent="0.3">
      <c r="A63" s="2">
        <v>91</v>
      </c>
      <c r="B63" t="str">
        <f t="shared" si="4"/>
        <v>0x5B</v>
      </c>
      <c r="C63" s="33" t="s">
        <v>670</v>
      </c>
      <c r="D63" t="s">
        <v>497</v>
      </c>
      <c r="E63" t="s">
        <v>594</v>
      </c>
      <c r="F63" t="s">
        <v>595</v>
      </c>
      <c r="G63" t="s">
        <v>528</v>
      </c>
      <c r="H63" t="s">
        <v>611</v>
      </c>
      <c r="I63" t="s">
        <v>512</v>
      </c>
      <c r="J63" s="7" t="str">
        <f t="shared" si="1"/>
        <v>[</v>
      </c>
      <c r="K63" t="s">
        <v>498</v>
      </c>
      <c r="L63" t="s">
        <v>596</v>
      </c>
      <c r="M63" t="s">
        <v>597</v>
      </c>
      <c r="N63" t="s">
        <v>533</v>
      </c>
      <c r="O63" t="s">
        <v>613</v>
      </c>
      <c r="P63" t="s">
        <v>514</v>
      </c>
      <c r="Z63" t="str">
        <f t="shared" si="3"/>
        <v>{0x00,0x3c,0x4a,0x49,0x29,0x1e}, // 0x5B  [</v>
      </c>
    </row>
    <row r="64" spans="1:26" x14ac:dyDescent="0.3">
      <c r="A64" s="2">
        <v>92</v>
      </c>
      <c r="B64" t="str">
        <f t="shared" si="4"/>
        <v>0x5C</v>
      </c>
      <c r="C64" s="39" t="s">
        <v>671</v>
      </c>
      <c r="D64" t="s">
        <v>497</v>
      </c>
      <c r="E64" t="s">
        <v>559</v>
      </c>
      <c r="F64" t="s">
        <v>511</v>
      </c>
      <c r="G64" t="s">
        <v>518</v>
      </c>
      <c r="H64" t="s">
        <v>558</v>
      </c>
      <c r="I64" t="s">
        <v>530</v>
      </c>
      <c r="J64" s="7" t="str">
        <f t="shared" si="1"/>
        <v>\</v>
      </c>
      <c r="K64" t="s">
        <v>498</v>
      </c>
      <c r="L64" t="s">
        <v>561</v>
      </c>
      <c r="M64" t="s">
        <v>513</v>
      </c>
      <c r="N64" t="s">
        <v>523</v>
      </c>
      <c r="O64" t="s">
        <v>560</v>
      </c>
      <c r="P64" t="s">
        <v>535</v>
      </c>
      <c r="Z64" t="str">
        <f t="shared" si="3"/>
        <v>{0x00,0x02,0x04,0x08,0x10,0x20}, // 0x5C  \</v>
      </c>
    </row>
    <row r="65" spans="1:26" x14ac:dyDescent="0.3">
      <c r="A65" s="2">
        <v>93</v>
      </c>
      <c r="B65" t="str">
        <f t="shared" si="4"/>
        <v>0x5D</v>
      </c>
      <c r="C65" s="33" t="s">
        <v>672</v>
      </c>
      <c r="D65" t="s">
        <v>497</v>
      </c>
      <c r="E65" t="s">
        <v>497</v>
      </c>
      <c r="F65" t="s">
        <v>541</v>
      </c>
      <c r="G65" t="s">
        <v>507</v>
      </c>
      <c r="H65" t="s">
        <v>497</v>
      </c>
      <c r="I65" t="s">
        <v>497</v>
      </c>
      <c r="J65" s="7" t="str">
        <f t="shared" si="1"/>
        <v>]</v>
      </c>
      <c r="K65" t="s">
        <v>498</v>
      </c>
      <c r="L65" t="s">
        <v>498</v>
      </c>
      <c r="M65" t="s">
        <v>544</v>
      </c>
      <c r="N65" t="s">
        <v>509</v>
      </c>
      <c r="O65" t="s">
        <v>498</v>
      </c>
      <c r="P65" t="s">
        <v>498</v>
      </c>
      <c r="Z65" t="str">
        <f t="shared" si="3"/>
        <v>{0x00,0x00,0x41,0x7f,0x00,0x00}, // 0x5D  ]</v>
      </c>
    </row>
    <row r="66" spans="1:26" x14ac:dyDescent="0.3">
      <c r="A66" s="2">
        <v>94</v>
      </c>
      <c r="B66" t="str">
        <f t="shared" si="4"/>
        <v>0x5E</v>
      </c>
      <c r="C66" s="39" t="s">
        <v>673</v>
      </c>
      <c r="D66" t="s">
        <v>497</v>
      </c>
      <c r="E66" t="s">
        <v>511</v>
      </c>
      <c r="F66" t="s">
        <v>559</v>
      </c>
      <c r="G66" t="s">
        <v>599</v>
      </c>
      <c r="H66" t="s">
        <v>559</v>
      </c>
      <c r="I66" t="s">
        <v>511</v>
      </c>
      <c r="J66" s="7" t="str">
        <f t="shared" si="1"/>
        <v>^</v>
      </c>
      <c r="K66" t="s">
        <v>498</v>
      </c>
      <c r="L66" t="s">
        <v>513</v>
      </c>
      <c r="M66" t="s">
        <v>561</v>
      </c>
      <c r="N66" t="s">
        <v>566</v>
      </c>
      <c r="O66" t="s">
        <v>561</v>
      </c>
      <c r="P66" t="s">
        <v>513</v>
      </c>
      <c r="Z66" t="str">
        <f t="shared" si="3"/>
        <v>{0x00,0x04,0x02,0x01,0x02,0x04}, // 0x5E  ^</v>
      </c>
    </row>
    <row r="67" spans="1:26" x14ac:dyDescent="0.3">
      <c r="A67" s="2">
        <v>95</v>
      </c>
      <c r="B67" t="str">
        <f t="shared" si="4"/>
        <v>0x5F</v>
      </c>
      <c r="C67" s="33" t="s">
        <v>674</v>
      </c>
      <c r="D67" t="s">
        <v>497</v>
      </c>
      <c r="E67" t="s">
        <v>568</v>
      </c>
      <c r="F67" t="s">
        <v>568</v>
      </c>
      <c r="G67" t="s">
        <v>568</v>
      </c>
      <c r="H67" t="s">
        <v>568</v>
      </c>
      <c r="I67" t="s">
        <v>568</v>
      </c>
      <c r="J67" s="7" t="str">
        <f t="shared" si="1"/>
        <v>_</v>
      </c>
      <c r="K67" t="s">
        <v>498</v>
      </c>
      <c r="L67" t="s">
        <v>570</v>
      </c>
      <c r="M67" t="s">
        <v>570</v>
      </c>
      <c r="N67" t="s">
        <v>570</v>
      </c>
      <c r="O67" t="s">
        <v>570</v>
      </c>
      <c r="P67" t="s">
        <v>570</v>
      </c>
      <c r="Z67" t="str">
        <f t="shared" si="3"/>
        <v>{0x00,0x40,0x40,0x40,0x40,0x40}, // 0x5F  _</v>
      </c>
    </row>
    <row r="68" spans="1:26" x14ac:dyDescent="0.3">
      <c r="A68" s="2">
        <v>96</v>
      </c>
      <c r="B68" t="str">
        <f t="shared" si="4"/>
        <v>0x60</v>
      </c>
      <c r="C68" s="39" t="s">
        <v>675</v>
      </c>
      <c r="D68" t="s">
        <v>497</v>
      </c>
      <c r="E68" t="s">
        <v>497</v>
      </c>
      <c r="F68" t="s">
        <v>497</v>
      </c>
      <c r="G68" t="s">
        <v>603</v>
      </c>
      <c r="H68" t="s">
        <v>511</v>
      </c>
      <c r="I68" t="s">
        <v>497</v>
      </c>
      <c r="J68" s="7" t="str">
        <f t="shared" ref="J68:J99" si="5">CHAR(A68)</f>
        <v>`</v>
      </c>
      <c r="K68" t="s">
        <v>498</v>
      </c>
      <c r="L68" t="s">
        <v>498</v>
      </c>
      <c r="M68" t="s">
        <v>498</v>
      </c>
      <c r="N68" t="s">
        <v>607</v>
      </c>
      <c r="O68" t="s">
        <v>513</v>
      </c>
      <c r="P68" t="s">
        <v>498</v>
      </c>
      <c r="Z68" t="str">
        <f t="shared" si="3"/>
        <v>{0x00,0x00,0x00,0x03,0x04,0x00}, // 0x60  `</v>
      </c>
    </row>
    <row r="69" spans="1:26" x14ac:dyDescent="0.3">
      <c r="A69" s="2">
        <v>97</v>
      </c>
      <c r="B69" t="str">
        <f t="shared" si="4"/>
        <v>0x61</v>
      </c>
      <c r="C69" s="33" t="s">
        <v>676</v>
      </c>
      <c r="D69" t="s">
        <v>497</v>
      </c>
      <c r="E69" t="s">
        <v>530</v>
      </c>
      <c r="F69" t="s">
        <v>677</v>
      </c>
      <c r="G69" t="s">
        <v>677</v>
      </c>
      <c r="H69" t="s">
        <v>677</v>
      </c>
      <c r="I69" t="s">
        <v>678</v>
      </c>
      <c r="J69" s="7" t="str">
        <f t="shared" si="5"/>
        <v>a</v>
      </c>
      <c r="K69" t="s">
        <v>498</v>
      </c>
      <c r="L69" t="s">
        <v>535</v>
      </c>
      <c r="M69" t="s">
        <v>679</v>
      </c>
      <c r="N69" t="s">
        <v>679</v>
      </c>
      <c r="O69" t="s">
        <v>679</v>
      </c>
      <c r="P69" t="s">
        <v>680</v>
      </c>
      <c r="Z69" t="str">
        <f t="shared" ref="Z69:Z99" si="6">"{"  &amp; D69 &amp; "," &amp; E69 &amp; "," &amp; F69 &amp; "," &amp; G69 &amp; "," &amp; H69 &amp; "," &amp; I69 &amp; "}, // "&amp; B69 &amp; "  " &amp; C69</f>
        <v>{0x00,0x20,0x54,0x54,0x54,0x78}, // 0x61  a</v>
      </c>
    </row>
    <row r="70" spans="1:26" x14ac:dyDescent="0.3">
      <c r="A70" s="2">
        <v>98</v>
      </c>
      <c r="B70" t="str">
        <f t="shared" ref="B70:B99" si="7">"0x"&amp;DEC2HEX(A70)</f>
        <v>0x62</v>
      </c>
      <c r="C70" s="33" t="s">
        <v>681</v>
      </c>
      <c r="D70" t="s">
        <v>497</v>
      </c>
      <c r="E70" t="s">
        <v>507</v>
      </c>
      <c r="F70" t="s">
        <v>682</v>
      </c>
      <c r="G70" t="s">
        <v>683</v>
      </c>
      <c r="H70" t="s">
        <v>683</v>
      </c>
      <c r="I70" t="s">
        <v>684</v>
      </c>
      <c r="J70" s="7" t="str">
        <f t="shared" si="5"/>
        <v>b</v>
      </c>
      <c r="K70" t="s">
        <v>498</v>
      </c>
      <c r="L70" t="s">
        <v>509</v>
      </c>
      <c r="M70" t="s">
        <v>685</v>
      </c>
      <c r="N70" t="s">
        <v>686</v>
      </c>
      <c r="O70" t="s">
        <v>686</v>
      </c>
      <c r="P70" t="s">
        <v>687</v>
      </c>
      <c r="Z70" t="str">
        <f t="shared" si="6"/>
        <v>{0x00,0x7f,0x48,0x44,0x44,0x38}, // 0x62  b</v>
      </c>
    </row>
    <row r="71" spans="1:26" x14ac:dyDescent="0.3">
      <c r="A71" s="2">
        <v>99</v>
      </c>
      <c r="B71" t="str">
        <f t="shared" si="7"/>
        <v>0x63</v>
      </c>
      <c r="C71" s="33" t="s">
        <v>688</v>
      </c>
      <c r="D71" t="s">
        <v>497</v>
      </c>
      <c r="E71" t="s">
        <v>684</v>
      </c>
      <c r="F71" t="s">
        <v>683</v>
      </c>
      <c r="G71" t="s">
        <v>683</v>
      </c>
      <c r="H71" t="s">
        <v>683</v>
      </c>
      <c r="I71" t="s">
        <v>530</v>
      </c>
      <c r="J71" s="7" t="str">
        <f t="shared" si="5"/>
        <v>c</v>
      </c>
      <c r="K71" t="s">
        <v>498</v>
      </c>
      <c r="L71" t="s">
        <v>687</v>
      </c>
      <c r="M71" t="s">
        <v>686</v>
      </c>
      <c r="N71" t="s">
        <v>686</v>
      </c>
      <c r="O71" t="s">
        <v>686</v>
      </c>
      <c r="P71" t="s">
        <v>535</v>
      </c>
      <c r="Z71" t="str">
        <f t="shared" si="6"/>
        <v>{0x00,0x38,0x44,0x44,0x44,0x20}, // 0x63  c</v>
      </c>
    </row>
    <row r="72" spans="1:26" x14ac:dyDescent="0.3">
      <c r="A72" s="2">
        <v>100</v>
      </c>
      <c r="B72" t="str">
        <f t="shared" si="7"/>
        <v>0x64</v>
      </c>
      <c r="C72" s="33" t="s">
        <v>689</v>
      </c>
      <c r="D72" t="s">
        <v>497</v>
      </c>
      <c r="E72" t="s">
        <v>684</v>
      </c>
      <c r="F72" t="s">
        <v>683</v>
      </c>
      <c r="G72" t="s">
        <v>683</v>
      </c>
      <c r="H72" t="s">
        <v>682</v>
      </c>
      <c r="I72" t="s">
        <v>507</v>
      </c>
      <c r="J72" s="7" t="str">
        <f t="shared" si="5"/>
        <v>d</v>
      </c>
      <c r="K72" t="s">
        <v>498</v>
      </c>
      <c r="L72" t="s">
        <v>687</v>
      </c>
      <c r="M72" t="s">
        <v>686</v>
      </c>
      <c r="N72" t="s">
        <v>686</v>
      </c>
      <c r="O72" t="s">
        <v>685</v>
      </c>
      <c r="P72" t="s">
        <v>509</v>
      </c>
      <c r="Z72" t="str">
        <f t="shared" si="6"/>
        <v>{0x00,0x38,0x44,0x44,0x48,0x7f}, // 0x64  d</v>
      </c>
    </row>
    <row r="73" spans="1:26" x14ac:dyDescent="0.3">
      <c r="A73" s="2">
        <v>101</v>
      </c>
      <c r="B73" t="str">
        <f t="shared" si="7"/>
        <v>0x65</v>
      </c>
      <c r="C73" s="33" t="s">
        <v>690</v>
      </c>
      <c r="D73" t="s">
        <v>497</v>
      </c>
      <c r="E73" t="s">
        <v>684</v>
      </c>
      <c r="F73" t="s">
        <v>677</v>
      </c>
      <c r="G73" t="s">
        <v>677</v>
      </c>
      <c r="H73" t="s">
        <v>677</v>
      </c>
      <c r="I73" t="s">
        <v>584</v>
      </c>
      <c r="J73" s="7" t="str">
        <f t="shared" si="5"/>
        <v>e</v>
      </c>
      <c r="K73" t="s">
        <v>498</v>
      </c>
      <c r="L73" t="s">
        <v>687</v>
      </c>
      <c r="M73" t="s">
        <v>679</v>
      </c>
      <c r="N73" t="s">
        <v>679</v>
      </c>
      <c r="O73" t="s">
        <v>679</v>
      </c>
      <c r="P73" t="s">
        <v>586</v>
      </c>
      <c r="Z73" t="str">
        <f t="shared" si="6"/>
        <v>{0x00,0x38,0x54,0x54,0x54,0x18}, // 0x65  e</v>
      </c>
    </row>
    <row r="74" spans="1:26" x14ac:dyDescent="0.3">
      <c r="A74" s="2">
        <v>102</v>
      </c>
      <c r="B74" t="str">
        <f t="shared" si="7"/>
        <v>0x66</v>
      </c>
      <c r="C74" s="33" t="s">
        <v>691</v>
      </c>
      <c r="D74" t="s">
        <v>497</v>
      </c>
      <c r="E74" t="s">
        <v>518</v>
      </c>
      <c r="F74" t="s">
        <v>626</v>
      </c>
      <c r="G74" t="s">
        <v>601</v>
      </c>
      <c r="H74" t="s">
        <v>599</v>
      </c>
      <c r="I74" t="s">
        <v>559</v>
      </c>
      <c r="J74" s="7" t="str">
        <f t="shared" si="5"/>
        <v>f</v>
      </c>
      <c r="K74" t="s">
        <v>498</v>
      </c>
      <c r="L74" t="s">
        <v>523</v>
      </c>
      <c r="M74" t="s">
        <v>627</v>
      </c>
      <c r="N74" t="s">
        <v>605</v>
      </c>
      <c r="O74" t="s">
        <v>566</v>
      </c>
      <c r="P74" t="s">
        <v>561</v>
      </c>
      <c r="Z74" t="str">
        <f t="shared" si="6"/>
        <v>{0x00,0x08,0x7e,0x09,0x01,0x02}, // 0x66  f</v>
      </c>
    </row>
    <row r="75" spans="1:26" x14ac:dyDescent="0.3">
      <c r="A75" s="2">
        <v>103</v>
      </c>
      <c r="B75" t="str">
        <f t="shared" si="7"/>
        <v>0x67</v>
      </c>
      <c r="C75" s="33" t="s">
        <v>692</v>
      </c>
      <c r="D75" t="s">
        <v>497</v>
      </c>
      <c r="E75" t="s">
        <v>644</v>
      </c>
      <c r="F75" t="s">
        <v>693</v>
      </c>
      <c r="G75" t="s">
        <v>693</v>
      </c>
      <c r="H75" t="s">
        <v>693</v>
      </c>
      <c r="I75" t="s">
        <v>547</v>
      </c>
      <c r="J75" s="7" t="str">
        <f t="shared" si="5"/>
        <v>g</v>
      </c>
      <c r="K75" t="s">
        <v>498</v>
      </c>
      <c r="L75" t="s">
        <v>645</v>
      </c>
      <c r="M75" t="s">
        <v>694</v>
      </c>
      <c r="N75" t="s">
        <v>694</v>
      </c>
      <c r="O75" t="s">
        <v>694</v>
      </c>
      <c r="P75" t="s">
        <v>548</v>
      </c>
      <c r="Z75" t="str">
        <f t="shared" si="6"/>
        <v>{0x00,0x0c,0x52,0x52,0x52,0x3e}, // 0x67  g</v>
      </c>
    </row>
    <row r="76" spans="1:26" x14ac:dyDescent="0.3">
      <c r="A76" s="2">
        <v>104</v>
      </c>
      <c r="B76" t="str">
        <f t="shared" si="7"/>
        <v>0x68</v>
      </c>
      <c r="C76" s="33" t="s">
        <v>695</v>
      </c>
      <c r="D76" t="s">
        <v>497</v>
      </c>
      <c r="E76" t="s">
        <v>507</v>
      </c>
      <c r="F76" t="s">
        <v>518</v>
      </c>
      <c r="G76" t="s">
        <v>511</v>
      </c>
      <c r="H76" t="s">
        <v>511</v>
      </c>
      <c r="I76" t="s">
        <v>678</v>
      </c>
      <c r="J76" s="7" t="str">
        <f t="shared" si="5"/>
        <v>h</v>
      </c>
      <c r="K76" t="s">
        <v>498</v>
      </c>
      <c r="L76" t="s">
        <v>509</v>
      </c>
      <c r="M76" t="s">
        <v>523</v>
      </c>
      <c r="N76" t="s">
        <v>513</v>
      </c>
      <c r="O76" t="s">
        <v>513</v>
      </c>
      <c r="P76" t="s">
        <v>680</v>
      </c>
      <c r="Z76" t="str">
        <f t="shared" si="6"/>
        <v>{0x00,0x7f,0x08,0x04,0x04,0x78}, // 0x68  h</v>
      </c>
    </row>
    <row r="77" spans="1:26" x14ac:dyDescent="0.3">
      <c r="A77" s="2">
        <v>105</v>
      </c>
      <c r="B77" t="str">
        <f t="shared" si="7"/>
        <v>0x69</v>
      </c>
      <c r="C77" s="33" t="s">
        <v>696</v>
      </c>
      <c r="D77" t="s">
        <v>497</v>
      </c>
      <c r="E77" t="s">
        <v>497</v>
      </c>
      <c r="F77" t="s">
        <v>683</v>
      </c>
      <c r="G77" t="s">
        <v>697</v>
      </c>
      <c r="H77" t="s">
        <v>568</v>
      </c>
      <c r="I77" t="s">
        <v>497</v>
      </c>
      <c r="J77" s="7" t="str">
        <f t="shared" si="5"/>
        <v>i</v>
      </c>
      <c r="K77" t="s">
        <v>498</v>
      </c>
      <c r="L77" t="s">
        <v>498</v>
      </c>
      <c r="M77" t="s">
        <v>686</v>
      </c>
      <c r="N77" t="s">
        <v>698</v>
      </c>
      <c r="O77" t="s">
        <v>570</v>
      </c>
      <c r="P77" t="s">
        <v>498</v>
      </c>
      <c r="Z77" t="str">
        <f t="shared" si="6"/>
        <v>{0x00,0x00,0x44,0x7d,0x40,0x00}, // 0x69  i</v>
      </c>
    </row>
    <row r="78" spans="1:26" x14ac:dyDescent="0.3">
      <c r="A78" s="2">
        <v>106</v>
      </c>
      <c r="B78" t="str">
        <f t="shared" si="7"/>
        <v>0x6A</v>
      </c>
      <c r="C78" s="33" t="s">
        <v>699</v>
      </c>
      <c r="D78" t="s">
        <v>497</v>
      </c>
      <c r="E78" t="s">
        <v>530</v>
      </c>
      <c r="F78" t="s">
        <v>568</v>
      </c>
      <c r="G78" t="s">
        <v>683</v>
      </c>
      <c r="H78" t="s">
        <v>700</v>
      </c>
      <c r="I78" t="s">
        <v>497</v>
      </c>
      <c r="J78" s="7" t="str">
        <f t="shared" si="5"/>
        <v>j</v>
      </c>
      <c r="K78" t="s">
        <v>498</v>
      </c>
      <c r="L78" t="s">
        <v>535</v>
      </c>
      <c r="M78" t="s">
        <v>570</v>
      </c>
      <c r="N78" t="s">
        <v>686</v>
      </c>
      <c r="O78" t="s">
        <v>701</v>
      </c>
      <c r="P78" t="s">
        <v>498</v>
      </c>
      <c r="Z78" t="str">
        <f t="shared" si="6"/>
        <v>{0x00,0x20,0x40,0x44,0x3d,0x00}, // 0x6A  j</v>
      </c>
    </row>
    <row r="79" spans="1:26" x14ac:dyDescent="0.3">
      <c r="A79" s="2">
        <v>107</v>
      </c>
      <c r="B79" t="str">
        <f t="shared" si="7"/>
        <v>0x6B</v>
      </c>
      <c r="C79" s="33" t="s">
        <v>702</v>
      </c>
      <c r="D79" t="s">
        <v>497</v>
      </c>
      <c r="E79" t="s">
        <v>497</v>
      </c>
      <c r="F79" t="s">
        <v>507</v>
      </c>
      <c r="G79" t="s">
        <v>558</v>
      </c>
      <c r="H79" t="s">
        <v>703</v>
      </c>
      <c r="I79" t="s">
        <v>683</v>
      </c>
      <c r="J79" s="7" t="str">
        <f t="shared" si="5"/>
        <v>k</v>
      </c>
      <c r="K79" t="s">
        <v>498</v>
      </c>
      <c r="L79" t="s">
        <v>498</v>
      </c>
      <c r="M79" t="s">
        <v>509</v>
      </c>
      <c r="N79" t="s">
        <v>560</v>
      </c>
      <c r="O79" t="s">
        <v>704</v>
      </c>
      <c r="P79" t="s">
        <v>686</v>
      </c>
      <c r="Z79" t="str">
        <f t="shared" si="6"/>
        <v>{0x00,0x00,0x7f,0x10,0x28,0x44}, // 0x6B  k</v>
      </c>
    </row>
    <row r="80" spans="1:26" x14ac:dyDescent="0.3">
      <c r="A80" s="2">
        <v>108</v>
      </c>
      <c r="B80" t="str">
        <f t="shared" si="7"/>
        <v>0x6C</v>
      </c>
      <c r="C80" s="33" t="s">
        <v>705</v>
      </c>
      <c r="D80" t="s">
        <v>497</v>
      </c>
      <c r="E80" t="s">
        <v>497</v>
      </c>
      <c r="F80" t="s">
        <v>541</v>
      </c>
      <c r="G80" t="s">
        <v>507</v>
      </c>
      <c r="H80" t="s">
        <v>568</v>
      </c>
      <c r="I80" t="s">
        <v>497</v>
      </c>
      <c r="J80" s="7" t="str">
        <f t="shared" si="5"/>
        <v>l</v>
      </c>
      <c r="K80" t="s">
        <v>498</v>
      </c>
      <c r="L80" t="s">
        <v>498</v>
      </c>
      <c r="M80" t="s">
        <v>544</v>
      </c>
      <c r="N80" t="s">
        <v>509</v>
      </c>
      <c r="O80" t="s">
        <v>570</v>
      </c>
      <c r="P80" t="s">
        <v>498</v>
      </c>
      <c r="Z80" t="str">
        <f t="shared" si="6"/>
        <v>{0x00,0x00,0x41,0x7f,0x40,0x00}, // 0x6C  l</v>
      </c>
    </row>
    <row r="81" spans="1:26" x14ac:dyDescent="0.3">
      <c r="A81" s="2">
        <v>109</v>
      </c>
      <c r="B81" t="str">
        <f t="shared" si="7"/>
        <v>0x6D</v>
      </c>
      <c r="C81" s="33" t="s">
        <v>706</v>
      </c>
      <c r="D81" t="s">
        <v>497</v>
      </c>
      <c r="E81" t="s">
        <v>707</v>
      </c>
      <c r="F81" t="s">
        <v>511</v>
      </c>
      <c r="G81" t="s">
        <v>584</v>
      </c>
      <c r="H81" t="s">
        <v>511</v>
      </c>
      <c r="I81" t="s">
        <v>678</v>
      </c>
      <c r="J81" s="7" t="str">
        <f t="shared" si="5"/>
        <v>m</v>
      </c>
      <c r="K81" t="s">
        <v>498</v>
      </c>
      <c r="L81" t="s">
        <v>708</v>
      </c>
      <c r="M81" t="s">
        <v>513</v>
      </c>
      <c r="N81" t="s">
        <v>586</v>
      </c>
      <c r="O81" t="s">
        <v>513</v>
      </c>
      <c r="P81" t="s">
        <v>680</v>
      </c>
      <c r="Z81" t="str">
        <f t="shared" si="6"/>
        <v>{0x00,0x7c,0x04,0x18,0x04,0x78}, // 0x6D  m</v>
      </c>
    </row>
    <row r="82" spans="1:26" x14ac:dyDescent="0.3">
      <c r="A82" s="2">
        <v>110</v>
      </c>
      <c r="B82" t="str">
        <f t="shared" si="7"/>
        <v>0x6E</v>
      </c>
      <c r="C82" s="33" t="s">
        <v>709</v>
      </c>
      <c r="D82" t="s">
        <v>497</v>
      </c>
      <c r="E82" t="s">
        <v>707</v>
      </c>
      <c r="F82" t="s">
        <v>518</v>
      </c>
      <c r="G82" t="s">
        <v>511</v>
      </c>
      <c r="H82" t="s">
        <v>511</v>
      </c>
      <c r="I82" t="s">
        <v>678</v>
      </c>
      <c r="J82" s="7" t="str">
        <f t="shared" si="5"/>
        <v>n</v>
      </c>
      <c r="K82" t="s">
        <v>498</v>
      </c>
      <c r="L82" t="s">
        <v>708</v>
      </c>
      <c r="M82" t="s">
        <v>523</v>
      </c>
      <c r="N82" t="s">
        <v>513</v>
      </c>
      <c r="O82" t="s">
        <v>513</v>
      </c>
      <c r="P82" t="s">
        <v>680</v>
      </c>
      <c r="Z82" t="str">
        <f t="shared" si="6"/>
        <v>{0x00,0x7c,0x08,0x04,0x04,0x78}, // 0x6E  n</v>
      </c>
    </row>
    <row r="83" spans="1:26" x14ac:dyDescent="0.3">
      <c r="A83" s="2">
        <v>111</v>
      </c>
      <c r="B83" t="str">
        <f t="shared" si="7"/>
        <v>0x6F</v>
      </c>
      <c r="C83" s="33" t="s">
        <v>710</v>
      </c>
      <c r="D83" t="s">
        <v>497</v>
      </c>
      <c r="E83" t="s">
        <v>684</v>
      </c>
      <c r="F83" t="s">
        <v>683</v>
      </c>
      <c r="G83" t="s">
        <v>683</v>
      </c>
      <c r="H83" t="s">
        <v>683</v>
      </c>
      <c r="I83" t="s">
        <v>684</v>
      </c>
      <c r="J83" s="7" t="str">
        <f t="shared" si="5"/>
        <v>o</v>
      </c>
      <c r="K83" t="s">
        <v>498</v>
      </c>
      <c r="L83" t="s">
        <v>687</v>
      </c>
      <c r="M83" t="s">
        <v>686</v>
      </c>
      <c r="N83" t="s">
        <v>686</v>
      </c>
      <c r="O83" t="s">
        <v>686</v>
      </c>
      <c r="P83" t="s">
        <v>687</v>
      </c>
      <c r="Z83" t="str">
        <f t="shared" si="6"/>
        <v>{0x00,0x38,0x44,0x44,0x44,0x38}, // 0x6F  o</v>
      </c>
    </row>
    <row r="84" spans="1:26" x14ac:dyDescent="0.3">
      <c r="A84" s="2">
        <v>112</v>
      </c>
      <c r="B84" t="str">
        <f t="shared" si="7"/>
        <v>0x70</v>
      </c>
      <c r="C84" s="33" t="s">
        <v>711</v>
      </c>
      <c r="D84" t="s">
        <v>497</v>
      </c>
      <c r="E84" t="s">
        <v>707</v>
      </c>
      <c r="F84" t="s">
        <v>506</v>
      </c>
      <c r="G84" t="s">
        <v>506</v>
      </c>
      <c r="H84" t="s">
        <v>506</v>
      </c>
      <c r="I84" t="s">
        <v>518</v>
      </c>
      <c r="J84" s="7" t="str">
        <f t="shared" si="5"/>
        <v>p</v>
      </c>
      <c r="K84" t="s">
        <v>498</v>
      </c>
      <c r="L84" t="s">
        <v>708</v>
      </c>
      <c r="M84" t="s">
        <v>508</v>
      </c>
      <c r="N84" t="s">
        <v>508</v>
      </c>
      <c r="O84" t="s">
        <v>508</v>
      </c>
      <c r="P84" t="s">
        <v>523</v>
      </c>
      <c r="Z84" t="str">
        <f t="shared" si="6"/>
        <v>{0x00,0x7c,0x14,0x14,0x14,0x08}, // 0x70  p</v>
      </c>
    </row>
    <row r="85" spans="1:26" x14ac:dyDescent="0.3">
      <c r="A85" s="2">
        <v>113</v>
      </c>
      <c r="B85" t="str">
        <f t="shared" si="7"/>
        <v>0x71</v>
      </c>
      <c r="C85" s="33" t="s">
        <v>712</v>
      </c>
      <c r="D85" t="s">
        <v>497</v>
      </c>
      <c r="E85" t="s">
        <v>518</v>
      </c>
      <c r="F85" t="s">
        <v>506</v>
      </c>
      <c r="G85" t="s">
        <v>506</v>
      </c>
      <c r="H85" t="s">
        <v>584</v>
      </c>
      <c r="I85" t="s">
        <v>707</v>
      </c>
      <c r="J85" s="7" t="str">
        <f t="shared" si="5"/>
        <v>q</v>
      </c>
      <c r="K85" t="s">
        <v>498</v>
      </c>
      <c r="L85" t="s">
        <v>523</v>
      </c>
      <c r="M85" t="s">
        <v>508</v>
      </c>
      <c r="N85" t="s">
        <v>508</v>
      </c>
      <c r="O85" t="s">
        <v>586</v>
      </c>
      <c r="P85" t="s">
        <v>708</v>
      </c>
      <c r="Z85" t="str">
        <f t="shared" si="6"/>
        <v>{0x00,0x08,0x14,0x14,0x18,0x7c}, // 0x71  q</v>
      </c>
    </row>
    <row r="86" spans="1:26" x14ac:dyDescent="0.3">
      <c r="A86" s="2">
        <v>114</v>
      </c>
      <c r="B86" t="str">
        <f t="shared" si="7"/>
        <v>0x72</v>
      </c>
      <c r="C86" s="33" t="s">
        <v>713</v>
      </c>
      <c r="D86" t="s">
        <v>497</v>
      </c>
      <c r="E86" t="s">
        <v>707</v>
      </c>
      <c r="F86" t="s">
        <v>518</v>
      </c>
      <c r="G86" t="s">
        <v>511</v>
      </c>
      <c r="H86" t="s">
        <v>511</v>
      </c>
      <c r="I86" t="s">
        <v>518</v>
      </c>
      <c r="J86" s="7" t="str">
        <f t="shared" si="5"/>
        <v>r</v>
      </c>
      <c r="K86" t="s">
        <v>498</v>
      </c>
      <c r="L86" t="s">
        <v>708</v>
      </c>
      <c r="M86" t="s">
        <v>523</v>
      </c>
      <c r="N86" t="s">
        <v>513</v>
      </c>
      <c r="O86" t="s">
        <v>513</v>
      </c>
      <c r="P86" t="s">
        <v>523</v>
      </c>
      <c r="Z86" t="str">
        <f t="shared" si="6"/>
        <v>{0x00,0x7c,0x08,0x04,0x04,0x08}, // 0x72  r</v>
      </c>
    </row>
    <row r="87" spans="1:26" x14ac:dyDescent="0.3">
      <c r="A87" s="2">
        <v>115</v>
      </c>
      <c r="B87" t="str">
        <f t="shared" si="7"/>
        <v>0x73</v>
      </c>
      <c r="C87" s="33" t="s">
        <v>714</v>
      </c>
      <c r="D87" t="s">
        <v>497</v>
      </c>
      <c r="E87" t="s">
        <v>682</v>
      </c>
      <c r="F87" t="s">
        <v>677</v>
      </c>
      <c r="G87" t="s">
        <v>677</v>
      </c>
      <c r="H87" t="s">
        <v>677</v>
      </c>
      <c r="I87" t="s">
        <v>530</v>
      </c>
      <c r="J87" s="7" t="str">
        <f t="shared" si="5"/>
        <v>s</v>
      </c>
      <c r="K87" t="s">
        <v>498</v>
      </c>
      <c r="L87" t="s">
        <v>685</v>
      </c>
      <c r="M87" t="s">
        <v>679</v>
      </c>
      <c r="N87" t="s">
        <v>679</v>
      </c>
      <c r="O87" t="s">
        <v>679</v>
      </c>
      <c r="P87" t="s">
        <v>535</v>
      </c>
      <c r="Z87" t="str">
        <f t="shared" si="6"/>
        <v>{0x00,0x48,0x54,0x54,0x54,0x20}, // 0x73  s</v>
      </c>
    </row>
    <row r="88" spans="1:26" x14ac:dyDescent="0.3">
      <c r="A88" s="2">
        <v>116</v>
      </c>
      <c r="B88" t="str">
        <f t="shared" si="7"/>
        <v>0x74</v>
      </c>
      <c r="C88" s="33" t="s">
        <v>715</v>
      </c>
      <c r="D88" t="s">
        <v>497</v>
      </c>
      <c r="E88" t="s">
        <v>511</v>
      </c>
      <c r="F88" t="s">
        <v>639</v>
      </c>
      <c r="G88" t="s">
        <v>683</v>
      </c>
      <c r="H88" t="s">
        <v>568</v>
      </c>
      <c r="I88" t="s">
        <v>530</v>
      </c>
      <c r="J88" s="7" t="str">
        <f t="shared" si="5"/>
        <v>t</v>
      </c>
      <c r="K88" t="s">
        <v>498</v>
      </c>
      <c r="L88" t="s">
        <v>513</v>
      </c>
      <c r="M88" t="s">
        <v>640</v>
      </c>
      <c r="N88" t="s">
        <v>686</v>
      </c>
      <c r="O88" t="s">
        <v>570</v>
      </c>
      <c r="P88" t="s">
        <v>535</v>
      </c>
      <c r="Z88" t="str">
        <f t="shared" si="6"/>
        <v>{0x00,0x04,0x3f,0x44,0x40,0x20}, // 0x74  t</v>
      </c>
    </row>
    <row r="89" spans="1:26" x14ac:dyDescent="0.3">
      <c r="A89" s="2">
        <v>117</v>
      </c>
      <c r="B89" t="str">
        <f t="shared" si="7"/>
        <v>0x75</v>
      </c>
      <c r="C89" s="33" t="s">
        <v>716</v>
      </c>
      <c r="D89" t="s">
        <v>497</v>
      </c>
      <c r="E89" t="s">
        <v>594</v>
      </c>
      <c r="F89" t="s">
        <v>568</v>
      </c>
      <c r="G89" t="s">
        <v>568</v>
      </c>
      <c r="H89" t="s">
        <v>530</v>
      </c>
      <c r="I89" t="s">
        <v>707</v>
      </c>
      <c r="J89" s="7" t="str">
        <f t="shared" si="5"/>
        <v>u</v>
      </c>
      <c r="K89" t="s">
        <v>498</v>
      </c>
      <c r="L89" t="s">
        <v>596</v>
      </c>
      <c r="M89" t="s">
        <v>570</v>
      </c>
      <c r="N89" t="s">
        <v>570</v>
      </c>
      <c r="O89" t="s">
        <v>535</v>
      </c>
      <c r="P89" t="s">
        <v>708</v>
      </c>
      <c r="Z89" t="str">
        <f t="shared" si="6"/>
        <v>{0x00,0x3c,0x40,0x40,0x20,0x7c}, // 0x75  u</v>
      </c>
    </row>
    <row r="90" spans="1:26" x14ac:dyDescent="0.3">
      <c r="A90" s="2">
        <v>118</v>
      </c>
      <c r="B90" t="str">
        <f t="shared" si="7"/>
        <v>0x76</v>
      </c>
      <c r="C90" s="33" t="s">
        <v>717</v>
      </c>
      <c r="D90" t="s">
        <v>497</v>
      </c>
      <c r="E90" t="s">
        <v>539</v>
      </c>
      <c r="F90" t="s">
        <v>530</v>
      </c>
      <c r="G90" t="s">
        <v>568</v>
      </c>
      <c r="H90" t="s">
        <v>530</v>
      </c>
      <c r="I90" t="s">
        <v>539</v>
      </c>
      <c r="J90" s="7" t="str">
        <f t="shared" si="5"/>
        <v>v</v>
      </c>
      <c r="K90" t="s">
        <v>498</v>
      </c>
      <c r="L90" t="s">
        <v>542</v>
      </c>
      <c r="M90" t="s">
        <v>535</v>
      </c>
      <c r="N90" t="s">
        <v>570</v>
      </c>
      <c r="O90" t="s">
        <v>535</v>
      </c>
      <c r="P90" t="s">
        <v>542</v>
      </c>
      <c r="Z90" t="str">
        <f t="shared" si="6"/>
        <v>{0x00,0x1c,0x20,0x40,0x20,0x1c}, // 0x76  v</v>
      </c>
    </row>
    <row r="91" spans="1:26" x14ac:dyDescent="0.3">
      <c r="A91" s="2">
        <v>119</v>
      </c>
      <c r="B91" t="str">
        <f t="shared" si="7"/>
        <v>0x77</v>
      </c>
      <c r="C91" s="33" t="s">
        <v>718</v>
      </c>
      <c r="D91" t="s">
        <v>497</v>
      </c>
      <c r="E91" t="s">
        <v>594</v>
      </c>
      <c r="F91" t="s">
        <v>568</v>
      </c>
      <c r="G91" t="s">
        <v>551</v>
      </c>
      <c r="H91" t="s">
        <v>568</v>
      </c>
      <c r="I91" t="s">
        <v>594</v>
      </c>
      <c r="J91" s="7" t="str">
        <f t="shared" si="5"/>
        <v>w</v>
      </c>
      <c r="K91" t="s">
        <v>498</v>
      </c>
      <c r="L91" t="s">
        <v>596</v>
      </c>
      <c r="M91" t="s">
        <v>570</v>
      </c>
      <c r="N91" t="s">
        <v>552</v>
      </c>
      <c r="O91" t="s">
        <v>570</v>
      </c>
      <c r="P91" t="s">
        <v>596</v>
      </c>
      <c r="Z91" t="str">
        <f t="shared" si="6"/>
        <v>{0x00,0x3c,0x40,0x30,0x40,0x3c}, // 0x77  w</v>
      </c>
    </row>
    <row r="92" spans="1:26" x14ac:dyDescent="0.3">
      <c r="A92" s="2">
        <v>120</v>
      </c>
      <c r="B92" t="str">
        <f t="shared" si="7"/>
        <v>0x78</v>
      </c>
      <c r="C92" s="33" t="s">
        <v>719</v>
      </c>
      <c r="D92" t="s">
        <v>497</v>
      </c>
      <c r="E92" t="s">
        <v>683</v>
      </c>
      <c r="F92" t="s">
        <v>703</v>
      </c>
      <c r="G92" t="s">
        <v>558</v>
      </c>
      <c r="H92" t="s">
        <v>703</v>
      </c>
      <c r="I92" t="s">
        <v>683</v>
      </c>
      <c r="J92" s="7" t="str">
        <f t="shared" si="5"/>
        <v>x</v>
      </c>
      <c r="K92" t="s">
        <v>498</v>
      </c>
      <c r="L92" t="s">
        <v>686</v>
      </c>
      <c r="M92" t="s">
        <v>704</v>
      </c>
      <c r="N92" t="s">
        <v>560</v>
      </c>
      <c r="O92" t="s">
        <v>704</v>
      </c>
      <c r="P92" t="s">
        <v>686</v>
      </c>
      <c r="Z92" t="str">
        <f t="shared" si="6"/>
        <v>{0x00,0x44,0x28,0x10,0x28,0x44}, // 0x78  x</v>
      </c>
    </row>
    <row r="93" spans="1:26" x14ac:dyDescent="0.3">
      <c r="A93" s="2">
        <v>121</v>
      </c>
      <c r="B93" t="str">
        <f t="shared" si="7"/>
        <v>0x79</v>
      </c>
      <c r="C93" s="33" t="s">
        <v>720</v>
      </c>
      <c r="D93" t="s">
        <v>497</v>
      </c>
      <c r="E93" t="s">
        <v>644</v>
      </c>
      <c r="F93" t="s">
        <v>531</v>
      </c>
      <c r="G93" t="s">
        <v>531</v>
      </c>
      <c r="H93" t="s">
        <v>531</v>
      </c>
      <c r="I93" t="s">
        <v>594</v>
      </c>
      <c r="J93" s="7" t="str">
        <f t="shared" si="5"/>
        <v>y</v>
      </c>
      <c r="K93" t="s">
        <v>498</v>
      </c>
      <c r="L93" t="s">
        <v>645</v>
      </c>
      <c r="M93" t="s">
        <v>536</v>
      </c>
      <c r="N93" t="s">
        <v>536</v>
      </c>
      <c r="O93" t="s">
        <v>536</v>
      </c>
      <c r="P93" t="s">
        <v>596</v>
      </c>
      <c r="Z93" t="str">
        <f t="shared" si="6"/>
        <v>{0x00,0x0c,0x50,0x50,0x50,0x3c}, // 0x79  y</v>
      </c>
    </row>
    <row r="94" spans="1:26" x14ac:dyDescent="0.3">
      <c r="A94" s="2">
        <v>122</v>
      </c>
      <c r="B94" t="str">
        <f t="shared" si="7"/>
        <v>0x7A</v>
      </c>
      <c r="C94" s="33" t="s">
        <v>721</v>
      </c>
      <c r="D94" t="s">
        <v>497</v>
      </c>
      <c r="E94" t="s">
        <v>683</v>
      </c>
      <c r="F94" t="s">
        <v>519</v>
      </c>
      <c r="G94" t="s">
        <v>677</v>
      </c>
      <c r="H94" t="s">
        <v>722</v>
      </c>
      <c r="I94" t="s">
        <v>683</v>
      </c>
      <c r="J94" s="7" t="str">
        <f t="shared" si="5"/>
        <v>z</v>
      </c>
      <c r="K94" t="s">
        <v>498</v>
      </c>
      <c r="L94" t="s">
        <v>686</v>
      </c>
      <c r="M94" t="s">
        <v>524</v>
      </c>
      <c r="N94" t="s">
        <v>679</v>
      </c>
      <c r="O94" t="s">
        <v>723</v>
      </c>
      <c r="P94" t="s">
        <v>686</v>
      </c>
      <c r="Z94" t="str">
        <f t="shared" si="6"/>
        <v>{0x00,0x44,0x64,0x54,0x4c,0x44}, // 0x7A  z</v>
      </c>
    </row>
    <row r="95" spans="1:26" x14ac:dyDescent="0.3">
      <c r="A95" s="2">
        <v>123</v>
      </c>
      <c r="B95" t="str">
        <f t="shared" si="7"/>
        <v>0x7B</v>
      </c>
      <c r="C95" s="33" t="s">
        <v>724</v>
      </c>
      <c r="D95" t="s">
        <v>497</v>
      </c>
      <c r="E95" t="s">
        <v>497</v>
      </c>
      <c r="F95" t="s">
        <v>518</v>
      </c>
      <c r="G95" t="s">
        <v>527</v>
      </c>
      <c r="H95" t="s">
        <v>541</v>
      </c>
      <c r="I95" t="s">
        <v>541</v>
      </c>
      <c r="J95" s="7" t="str">
        <f t="shared" si="5"/>
        <v>{</v>
      </c>
      <c r="K95" t="s">
        <v>498</v>
      </c>
      <c r="L95" t="s">
        <v>498</v>
      </c>
      <c r="M95" t="s">
        <v>523</v>
      </c>
      <c r="N95" t="s">
        <v>532</v>
      </c>
      <c r="O95" t="s">
        <v>544</v>
      </c>
      <c r="P95" t="s">
        <v>544</v>
      </c>
      <c r="Z95" t="str">
        <f t="shared" si="6"/>
        <v>{0x00,0x00,0x08,0x36,0x41,0x41}, // 0x7B  {</v>
      </c>
    </row>
    <row r="96" spans="1:26" x14ac:dyDescent="0.3">
      <c r="A96" s="2">
        <v>124</v>
      </c>
      <c r="B96" t="str">
        <f t="shared" si="7"/>
        <v>0x7C</v>
      </c>
      <c r="C96" s="33" t="s">
        <v>725</v>
      </c>
      <c r="D96" t="s">
        <v>497</v>
      </c>
      <c r="E96" t="s">
        <v>497</v>
      </c>
      <c r="F96" t="s">
        <v>497</v>
      </c>
      <c r="G96" t="s">
        <v>507</v>
      </c>
      <c r="H96" t="s">
        <v>497</v>
      </c>
      <c r="I96" t="s">
        <v>497</v>
      </c>
      <c r="J96" s="7" t="str">
        <f t="shared" si="5"/>
        <v>|</v>
      </c>
      <c r="K96" t="s">
        <v>498</v>
      </c>
      <c r="L96" t="s">
        <v>498</v>
      </c>
      <c r="M96" t="s">
        <v>498</v>
      </c>
      <c r="N96" t="s">
        <v>509</v>
      </c>
      <c r="O96" t="s">
        <v>498</v>
      </c>
      <c r="P96" t="s">
        <v>498</v>
      </c>
      <c r="Z96" t="str">
        <f t="shared" si="6"/>
        <v>{0x00,0x00,0x00,0x7f,0x00,0x00}, // 0x7C  |</v>
      </c>
    </row>
    <row r="97" spans="1:26" x14ac:dyDescent="0.3">
      <c r="A97" s="2">
        <v>125</v>
      </c>
      <c r="B97" t="str">
        <f t="shared" si="7"/>
        <v>0x7D</v>
      </c>
      <c r="C97" s="33" t="s">
        <v>726</v>
      </c>
      <c r="D97" t="s">
        <v>497</v>
      </c>
      <c r="E97" t="s">
        <v>541</v>
      </c>
      <c r="F97" t="s">
        <v>541</v>
      </c>
      <c r="G97" t="s">
        <v>527</v>
      </c>
      <c r="H97" t="s">
        <v>518</v>
      </c>
      <c r="I97" t="s">
        <v>497</v>
      </c>
      <c r="J97" s="7" t="str">
        <f t="shared" si="5"/>
        <v>}</v>
      </c>
      <c r="K97" t="s">
        <v>498</v>
      </c>
      <c r="L97" t="s">
        <v>544</v>
      </c>
      <c r="M97" t="s">
        <v>544</v>
      </c>
      <c r="N97" t="s">
        <v>532</v>
      </c>
      <c r="O97" t="s">
        <v>523</v>
      </c>
      <c r="P97" t="s">
        <v>498</v>
      </c>
      <c r="Z97" t="str">
        <f t="shared" si="6"/>
        <v>{0x00,0x41,0x41,0x36,0x08,0x00}, // 0x7D  }</v>
      </c>
    </row>
    <row r="98" spans="1:26" x14ac:dyDescent="0.3">
      <c r="A98" s="2">
        <v>126</v>
      </c>
      <c r="B98" t="str">
        <f t="shared" si="7"/>
        <v>0x7E</v>
      </c>
      <c r="C98" s="33" t="s">
        <v>727</v>
      </c>
      <c r="D98" t="s">
        <v>497</v>
      </c>
      <c r="E98" t="s">
        <v>511</v>
      </c>
      <c r="F98" t="s">
        <v>559</v>
      </c>
      <c r="G98" t="s">
        <v>511</v>
      </c>
      <c r="H98" t="s">
        <v>518</v>
      </c>
      <c r="I98" t="s">
        <v>511</v>
      </c>
      <c r="J98" s="7" t="str">
        <f t="shared" si="5"/>
        <v>~</v>
      </c>
      <c r="K98" t="s">
        <v>498</v>
      </c>
      <c r="L98" t="s">
        <v>513</v>
      </c>
      <c r="M98" t="s">
        <v>561</v>
      </c>
      <c r="N98" t="s">
        <v>513</v>
      </c>
      <c r="O98" t="s">
        <v>523</v>
      </c>
      <c r="P98" t="s">
        <v>513</v>
      </c>
      <c r="Z98" t="str">
        <f t="shared" si="6"/>
        <v>{0x00,0x04,0x02,0x04,0x08,0x04}, // 0x7E  ~</v>
      </c>
    </row>
    <row r="99" spans="1:26" x14ac:dyDescent="0.3">
      <c r="A99" s="2">
        <v>127</v>
      </c>
      <c r="B99" t="str">
        <f t="shared" si="7"/>
        <v>0x7F</v>
      </c>
      <c r="C99" s="33" t="s">
        <v>462</v>
      </c>
      <c r="D99" t="s">
        <v>497</v>
      </c>
      <c r="E99" t="s">
        <v>507</v>
      </c>
      <c r="F99" t="s">
        <v>728</v>
      </c>
      <c r="G99" t="s">
        <v>728</v>
      </c>
      <c r="H99" t="s">
        <v>728</v>
      </c>
      <c r="I99" t="s">
        <v>507</v>
      </c>
      <c r="J99" s="7" t="str">
        <f t="shared" si="5"/>
        <v></v>
      </c>
      <c r="K99" t="s">
        <v>498</v>
      </c>
      <c r="L99" t="s">
        <v>509</v>
      </c>
      <c r="M99" t="s">
        <v>729</v>
      </c>
      <c r="N99" t="s">
        <v>729</v>
      </c>
      <c r="O99" t="s">
        <v>729</v>
      </c>
      <c r="P99" t="s">
        <v>509</v>
      </c>
      <c r="Z99" t="str">
        <f t="shared" si="6"/>
        <v xml:space="preserve">{0x00,0x7f,0x6b,0x6b,0x6b,0x7f}, // 0x7F   </v>
      </c>
    </row>
    <row r="100" spans="1:26" x14ac:dyDescent="0.3">
      <c r="Z100" t="s">
        <v>730</v>
      </c>
    </row>
  </sheetData>
  <conditionalFormatting sqref="S4:X11">
    <cfRule type="expression" dxfId="0" priority="1">
      <formula>S4="."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547B-8F02-417B-9498-201641F0E68B}">
  <dimension ref="A1:H31"/>
  <sheetViews>
    <sheetView zoomScale="145" zoomScaleNormal="145" workbookViewId="0">
      <selection activeCell="E18" sqref="E18"/>
    </sheetView>
  </sheetViews>
  <sheetFormatPr defaultRowHeight="14.4" x14ac:dyDescent="0.3"/>
  <cols>
    <col min="1" max="1" width="28.44140625" customWidth="1"/>
    <col min="2" max="2" width="16.109375" customWidth="1"/>
    <col min="3" max="3" width="8" customWidth="1"/>
    <col min="4" max="4" width="3.33203125" style="7" customWidth="1"/>
    <col min="5" max="5" width="8.88671875" style="7"/>
    <col min="7" max="7" width="15.109375" customWidth="1"/>
  </cols>
  <sheetData>
    <row r="1" spans="1:8" x14ac:dyDescent="0.3">
      <c r="A1" s="4" t="s">
        <v>826</v>
      </c>
      <c r="F1" s="4" t="s">
        <v>901</v>
      </c>
    </row>
    <row r="2" spans="1:8" x14ac:dyDescent="0.3">
      <c r="B2" t="s">
        <v>16</v>
      </c>
      <c r="D2" s="7">
        <v>1</v>
      </c>
      <c r="E2" s="7" t="s">
        <v>827</v>
      </c>
      <c r="F2" t="s">
        <v>16</v>
      </c>
    </row>
    <row r="3" spans="1:8" x14ac:dyDescent="0.3">
      <c r="A3" t="s">
        <v>828</v>
      </c>
      <c r="B3" t="s">
        <v>829</v>
      </c>
      <c r="C3" t="s">
        <v>830</v>
      </c>
      <c r="D3" s="7">
        <v>2</v>
      </c>
      <c r="E3" s="7" t="s">
        <v>831</v>
      </c>
      <c r="F3" t="s">
        <v>832</v>
      </c>
      <c r="G3" t="s">
        <v>833</v>
      </c>
      <c r="H3" t="s">
        <v>834</v>
      </c>
    </row>
    <row r="4" spans="1:8" x14ac:dyDescent="0.3">
      <c r="A4" t="s">
        <v>835</v>
      </c>
      <c r="B4" t="s">
        <v>836</v>
      </c>
      <c r="C4" t="s">
        <v>832</v>
      </c>
      <c r="D4" s="7">
        <v>3</v>
      </c>
      <c r="E4" s="7" t="s">
        <v>831</v>
      </c>
      <c r="F4" t="s">
        <v>832</v>
      </c>
      <c r="G4" t="s">
        <v>837</v>
      </c>
      <c r="H4" t="s">
        <v>838</v>
      </c>
    </row>
    <row r="5" spans="1:8" x14ac:dyDescent="0.3">
      <c r="A5" t="s">
        <v>839</v>
      </c>
      <c r="B5" t="s">
        <v>840</v>
      </c>
      <c r="C5" t="s">
        <v>832</v>
      </c>
      <c r="D5" s="7">
        <v>4</v>
      </c>
      <c r="E5" s="7" t="s">
        <v>831</v>
      </c>
      <c r="F5" t="s">
        <v>832</v>
      </c>
      <c r="G5" t="s">
        <v>841</v>
      </c>
      <c r="H5" t="s">
        <v>842</v>
      </c>
    </row>
    <row r="6" spans="1:8" x14ac:dyDescent="0.3">
      <c r="A6" t="s">
        <v>843</v>
      </c>
      <c r="B6" t="s">
        <v>844</v>
      </c>
      <c r="C6" t="s">
        <v>832</v>
      </c>
      <c r="D6" s="7">
        <v>5</v>
      </c>
      <c r="E6" s="7" t="s">
        <v>831</v>
      </c>
      <c r="F6" t="s">
        <v>830</v>
      </c>
      <c r="G6" t="s">
        <v>845</v>
      </c>
      <c r="H6" t="s">
        <v>846</v>
      </c>
    </row>
    <row r="7" spans="1:8" x14ac:dyDescent="0.3">
      <c r="A7" t="s">
        <v>847</v>
      </c>
      <c r="B7" t="s">
        <v>848</v>
      </c>
      <c r="C7" t="s">
        <v>832</v>
      </c>
      <c r="D7" s="7">
        <v>6</v>
      </c>
      <c r="E7" s="7" t="s">
        <v>831</v>
      </c>
      <c r="F7" t="s">
        <v>832</v>
      </c>
      <c r="G7" t="s">
        <v>849</v>
      </c>
      <c r="H7" t="s">
        <v>850</v>
      </c>
    </row>
    <row r="8" spans="1:8" x14ac:dyDescent="0.3">
      <c r="B8" t="s">
        <v>14</v>
      </c>
      <c r="D8" s="7">
        <v>7</v>
      </c>
      <c r="E8" s="7" t="s">
        <v>827</v>
      </c>
      <c r="F8" t="s">
        <v>14</v>
      </c>
    </row>
    <row r="9" spans="1:8" x14ac:dyDescent="0.3">
      <c r="A9" t="s">
        <v>851</v>
      </c>
      <c r="B9" t="s">
        <v>852</v>
      </c>
      <c r="C9" t="s">
        <v>832</v>
      </c>
      <c r="D9" s="7">
        <v>8</v>
      </c>
      <c r="E9" s="7" t="s">
        <v>853</v>
      </c>
      <c r="F9" t="s">
        <v>830</v>
      </c>
      <c r="G9" t="s">
        <v>854</v>
      </c>
      <c r="H9" t="s">
        <v>855</v>
      </c>
    </row>
    <row r="10" spans="1:8" x14ac:dyDescent="0.3">
      <c r="A10" t="s">
        <v>856</v>
      </c>
      <c r="B10" t="s">
        <v>857</v>
      </c>
      <c r="C10" t="s">
        <v>830</v>
      </c>
      <c r="D10" s="7">
        <v>9</v>
      </c>
      <c r="E10" s="7" t="s">
        <v>858</v>
      </c>
      <c r="F10" t="s">
        <v>832</v>
      </c>
      <c r="G10" t="s">
        <v>859</v>
      </c>
      <c r="H10" t="s">
        <v>860</v>
      </c>
    </row>
    <row r="11" spans="1:8" x14ac:dyDescent="0.3">
      <c r="A11" t="s">
        <v>861</v>
      </c>
      <c r="B11" t="s">
        <v>862</v>
      </c>
      <c r="C11" t="s">
        <v>830</v>
      </c>
      <c r="D11" s="7">
        <v>10</v>
      </c>
      <c r="E11" s="7" t="s">
        <v>858</v>
      </c>
      <c r="F11" t="s">
        <v>832</v>
      </c>
      <c r="G11" t="s">
        <v>863</v>
      </c>
      <c r="H11" t="s">
        <v>864</v>
      </c>
    </row>
    <row r="12" spans="1:8" x14ac:dyDescent="0.3">
      <c r="A12" t="s">
        <v>865</v>
      </c>
      <c r="B12" t="s">
        <v>866</v>
      </c>
      <c r="C12" t="s">
        <v>832</v>
      </c>
      <c r="D12" s="7">
        <v>11</v>
      </c>
      <c r="E12" s="7" t="s">
        <v>853</v>
      </c>
      <c r="F12" t="s">
        <v>830</v>
      </c>
      <c r="G12" t="s">
        <v>867</v>
      </c>
      <c r="H12" t="s">
        <v>868</v>
      </c>
    </row>
    <row r="13" spans="1:8" x14ac:dyDescent="0.3">
      <c r="B13" t="s">
        <v>14</v>
      </c>
      <c r="D13" s="7">
        <v>12</v>
      </c>
      <c r="E13" s="7" t="s">
        <v>827</v>
      </c>
      <c r="F13" t="s">
        <v>14</v>
      </c>
      <c r="G13" t="s">
        <v>462</v>
      </c>
    </row>
    <row r="15" spans="1:8" x14ac:dyDescent="0.3">
      <c r="B15" t="s">
        <v>869</v>
      </c>
      <c r="C15" t="s">
        <v>832</v>
      </c>
      <c r="E15" s="7" t="s">
        <v>853</v>
      </c>
      <c r="F15" t="s">
        <v>830</v>
      </c>
      <c r="G15" t="s">
        <v>870</v>
      </c>
    </row>
    <row r="16" spans="1:8" x14ac:dyDescent="0.3">
      <c r="B16" t="s">
        <v>871</v>
      </c>
      <c r="C16" t="s">
        <v>832</v>
      </c>
      <c r="E16" s="7" t="s">
        <v>853</v>
      </c>
      <c r="F16" t="s">
        <v>830</v>
      </c>
      <c r="G16" t="s">
        <v>872</v>
      </c>
    </row>
    <row r="17" spans="2:7" x14ac:dyDescent="0.3">
      <c r="B17" t="s">
        <v>873</v>
      </c>
      <c r="C17" t="s">
        <v>832</v>
      </c>
      <c r="E17" s="7" t="s">
        <v>853</v>
      </c>
      <c r="F17" t="s">
        <v>830</v>
      </c>
      <c r="G17" t="s">
        <v>874</v>
      </c>
    </row>
    <row r="18" spans="2:7" x14ac:dyDescent="0.3">
      <c r="B18" t="s">
        <v>875</v>
      </c>
      <c r="C18" t="s">
        <v>832</v>
      </c>
      <c r="E18" s="7" t="s">
        <v>853</v>
      </c>
      <c r="F18" t="s">
        <v>830</v>
      </c>
      <c r="G18" t="s">
        <v>876</v>
      </c>
    </row>
    <row r="19" spans="2:7" x14ac:dyDescent="0.3">
      <c r="B19" t="s">
        <v>877</v>
      </c>
      <c r="C19" t="s">
        <v>832</v>
      </c>
      <c r="E19" s="7" t="s">
        <v>853</v>
      </c>
      <c r="F19" t="s">
        <v>830</v>
      </c>
      <c r="G19" t="s">
        <v>878</v>
      </c>
    </row>
    <row r="20" spans="2:7" x14ac:dyDescent="0.3">
      <c r="B20" t="s">
        <v>879</v>
      </c>
      <c r="C20" t="s">
        <v>832</v>
      </c>
      <c r="E20" s="7" t="s">
        <v>853</v>
      </c>
      <c r="F20" t="s">
        <v>830</v>
      </c>
      <c r="G20" t="s">
        <v>880</v>
      </c>
    </row>
    <row r="21" spans="2:7" x14ac:dyDescent="0.3">
      <c r="B21" t="s">
        <v>881</v>
      </c>
      <c r="C21" t="s">
        <v>832</v>
      </c>
      <c r="E21" s="7" t="s">
        <v>853</v>
      </c>
      <c r="F21" t="s">
        <v>830</v>
      </c>
      <c r="G21" t="s">
        <v>882</v>
      </c>
    </row>
    <row r="22" spans="2:7" x14ac:dyDescent="0.3">
      <c r="B22" t="s">
        <v>883</v>
      </c>
      <c r="C22" t="s">
        <v>832</v>
      </c>
      <c r="E22" s="7" t="s">
        <v>853</v>
      </c>
      <c r="F22" t="s">
        <v>830</v>
      </c>
      <c r="G22" t="s">
        <v>884</v>
      </c>
    </row>
    <row r="24" spans="2:7" x14ac:dyDescent="0.3">
      <c r="B24" t="s">
        <v>885</v>
      </c>
      <c r="C24" t="s">
        <v>830</v>
      </c>
      <c r="E24" s="7" t="s">
        <v>858</v>
      </c>
      <c r="F24" t="s">
        <v>832</v>
      </c>
      <c r="G24" t="s">
        <v>886</v>
      </c>
    </row>
    <row r="25" spans="2:7" x14ac:dyDescent="0.3">
      <c r="B25" t="s">
        <v>887</v>
      </c>
      <c r="C25" t="s">
        <v>830</v>
      </c>
      <c r="E25" s="7" t="s">
        <v>858</v>
      </c>
      <c r="F25" t="s">
        <v>832</v>
      </c>
      <c r="G25" t="s">
        <v>888</v>
      </c>
    </row>
    <row r="26" spans="2:7" x14ac:dyDescent="0.3">
      <c r="B26" t="s">
        <v>889</v>
      </c>
      <c r="C26" t="s">
        <v>830</v>
      </c>
      <c r="E26" s="7" t="s">
        <v>858</v>
      </c>
      <c r="F26" t="s">
        <v>832</v>
      </c>
      <c r="G26" t="s">
        <v>890</v>
      </c>
    </row>
    <row r="27" spans="2:7" x14ac:dyDescent="0.3">
      <c r="B27" t="s">
        <v>891</v>
      </c>
      <c r="C27" t="s">
        <v>830</v>
      </c>
      <c r="E27" s="7" t="s">
        <v>858</v>
      </c>
      <c r="F27" t="s">
        <v>832</v>
      </c>
      <c r="G27" t="s">
        <v>892</v>
      </c>
    </row>
    <row r="28" spans="2:7" x14ac:dyDescent="0.3">
      <c r="B28" t="s">
        <v>893</v>
      </c>
      <c r="C28" t="s">
        <v>830</v>
      </c>
      <c r="E28" s="7" t="s">
        <v>858</v>
      </c>
      <c r="F28" t="s">
        <v>832</v>
      </c>
      <c r="G28" t="s">
        <v>894</v>
      </c>
    </row>
    <row r="29" spans="2:7" x14ac:dyDescent="0.3">
      <c r="B29" t="s">
        <v>895</v>
      </c>
      <c r="C29" t="s">
        <v>830</v>
      </c>
      <c r="E29" s="7" t="s">
        <v>858</v>
      </c>
      <c r="F29" t="s">
        <v>832</v>
      </c>
      <c r="G29" t="s">
        <v>896</v>
      </c>
    </row>
    <row r="30" spans="2:7" x14ac:dyDescent="0.3">
      <c r="B30" t="s">
        <v>897</v>
      </c>
      <c r="C30" t="s">
        <v>830</v>
      </c>
      <c r="E30" s="7" t="s">
        <v>858</v>
      </c>
      <c r="F30" t="s">
        <v>832</v>
      </c>
      <c r="G30" t="s">
        <v>898</v>
      </c>
    </row>
    <row r="31" spans="2:7" x14ac:dyDescent="0.3">
      <c r="B31" t="s">
        <v>899</v>
      </c>
      <c r="C31" t="s">
        <v>830</v>
      </c>
      <c r="E31" s="7" t="s">
        <v>858</v>
      </c>
      <c r="F31" t="s">
        <v>832</v>
      </c>
      <c r="G31" t="s">
        <v>900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25BD-9FCE-4DA0-8AB4-367E61FB46FA}">
  <dimension ref="A1:E41"/>
  <sheetViews>
    <sheetView zoomScale="115" zoomScaleNormal="115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2" max="2" width="10.21875" customWidth="1"/>
    <col min="3" max="3" width="18" customWidth="1"/>
    <col min="4" max="4" width="26.77734375" customWidth="1"/>
  </cols>
  <sheetData>
    <row r="1" spans="1:5" s="4" customFormat="1" x14ac:dyDescent="0.3">
      <c r="C1" s="4" t="s">
        <v>905</v>
      </c>
      <c r="E1" s="4" t="s">
        <v>901</v>
      </c>
    </row>
    <row r="2" spans="1:5" x14ac:dyDescent="0.3">
      <c r="A2">
        <v>1</v>
      </c>
      <c r="B2" t="s">
        <v>798</v>
      </c>
      <c r="C2" t="s">
        <v>797</v>
      </c>
    </row>
    <row r="3" spans="1:5" x14ac:dyDescent="0.3">
      <c r="A3">
        <v>2</v>
      </c>
      <c r="B3" t="s">
        <v>799</v>
      </c>
      <c r="C3" t="s">
        <v>796</v>
      </c>
    </row>
    <row r="4" spans="1:5" x14ac:dyDescent="0.3">
      <c r="A4">
        <v>3</v>
      </c>
      <c r="B4" t="s">
        <v>14</v>
      </c>
    </row>
    <row r="5" spans="1:5" x14ac:dyDescent="0.3">
      <c r="A5">
        <v>4</v>
      </c>
      <c r="B5" t="s">
        <v>801</v>
      </c>
      <c r="C5" t="s">
        <v>906</v>
      </c>
      <c r="D5" t="s">
        <v>921</v>
      </c>
    </row>
    <row r="6" spans="1:5" x14ac:dyDescent="0.3">
      <c r="A6">
        <v>5</v>
      </c>
      <c r="B6" t="s">
        <v>802</v>
      </c>
      <c r="C6" t="s">
        <v>907</v>
      </c>
      <c r="D6" t="s">
        <v>921</v>
      </c>
    </row>
    <row r="7" spans="1:5" x14ac:dyDescent="0.3">
      <c r="A7">
        <v>6</v>
      </c>
      <c r="B7" t="s">
        <v>803</v>
      </c>
      <c r="C7" t="s">
        <v>909</v>
      </c>
      <c r="D7" t="s">
        <v>921</v>
      </c>
    </row>
    <row r="8" spans="1:5" x14ac:dyDescent="0.3">
      <c r="A8">
        <v>7</v>
      </c>
      <c r="B8" t="s">
        <v>804</v>
      </c>
      <c r="C8" t="s">
        <v>908</v>
      </c>
      <c r="D8" t="s">
        <v>921</v>
      </c>
    </row>
    <row r="9" spans="1:5" x14ac:dyDescent="0.3">
      <c r="A9">
        <v>8</v>
      </c>
      <c r="B9" t="s">
        <v>14</v>
      </c>
    </row>
    <row r="10" spans="1:5" x14ac:dyDescent="0.3">
      <c r="A10">
        <v>9</v>
      </c>
      <c r="B10" t="s">
        <v>806</v>
      </c>
      <c r="C10" t="s">
        <v>795</v>
      </c>
    </row>
    <row r="11" spans="1:5" x14ac:dyDescent="0.3">
      <c r="A11">
        <v>10</v>
      </c>
      <c r="B11" t="s">
        <v>808</v>
      </c>
      <c r="C11" t="s">
        <v>910</v>
      </c>
    </row>
    <row r="12" spans="1:5" x14ac:dyDescent="0.3">
      <c r="A12">
        <v>11</v>
      </c>
      <c r="B12" t="s">
        <v>810</v>
      </c>
      <c r="C12" t="s">
        <v>911</v>
      </c>
    </row>
    <row r="13" spans="1:5" x14ac:dyDescent="0.3">
      <c r="A13">
        <v>12</v>
      </c>
      <c r="B13" t="s">
        <v>812</v>
      </c>
      <c r="C13" t="s">
        <v>794</v>
      </c>
    </row>
    <row r="14" spans="1:5" x14ac:dyDescent="0.3">
      <c r="A14">
        <v>13</v>
      </c>
      <c r="B14" t="s">
        <v>14</v>
      </c>
    </row>
    <row r="15" spans="1:5" x14ac:dyDescent="0.3">
      <c r="A15">
        <v>14</v>
      </c>
      <c r="B15" t="s">
        <v>814</v>
      </c>
      <c r="C15" t="s">
        <v>355</v>
      </c>
    </row>
    <row r="16" spans="1:5" x14ac:dyDescent="0.3">
      <c r="A16">
        <v>15</v>
      </c>
      <c r="B16" t="s">
        <v>816</v>
      </c>
      <c r="C16" t="s">
        <v>354</v>
      </c>
    </row>
    <row r="17" spans="1:4" x14ac:dyDescent="0.3">
      <c r="A17">
        <v>16</v>
      </c>
      <c r="B17" t="s">
        <v>818</v>
      </c>
      <c r="C17" t="s">
        <v>353</v>
      </c>
    </row>
    <row r="18" spans="1:4" x14ac:dyDescent="0.3">
      <c r="A18">
        <v>17</v>
      </c>
      <c r="B18" t="s">
        <v>820</v>
      </c>
    </row>
    <row r="19" spans="1:4" x14ac:dyDescent="0.3">
      <c r="A19">
        <v>18</v>
      </c>
      <c r="B19" t="s">
        <v>14</v>
      </c>
      <c r="C19" t="s">
        <v>912</v>
      </c>
    </row>
    <row r="20" spans="1:4" x14ac:dyDescent="0.3">
      <c r="A20">
        <v>19</v>
      </c>
      <c r="B20" t="s">
        <v>822</v>
      </c>
      <c r="C20" t="s">
        <v>793</v>
      </c>
    </row>
    <row r="21" spans="1:4" x14ac:dyDescent="0.3">
      <c r="A21">
        <v>20</v>
      </c>
      <c r="B21" t="s">
        <v>824</v>
      </c>
      <c r="C21" t="s">
        <v>792</v>
      </c>
    </row>
    <row r="22" spans="1:4" x14ac:dyDescent="0.3">
      <c r="A22">
        <v>21</v>
      </c>
      <c r="B22" t="s">
        <v>825</v>
      </c>
      <c r="C22" t="s">
        <v>913</v>
      </c>
      <c r="D22" t="s">
        <v>920</v>
      </c>
    </row>
    <row r="23" spans="1:4" x14ac:dyDescent="0.3">
      <c r="A23">
        <v>22</v>
      </c>
      <c r="B23" t="s">
        <v>823</v>
      </c>
      <c r="C23" t="s">
        <v>914</v>
      </c>
      <c r="D23" t="s">
        <v>920</v>
      </c>
    </row>
    <row r="24" spans="1:4" x14ac:dyDescent="0.3">
      <c r="A24">
        <v>23</v>
      </c>
      <c r="B24" t="s">
        <v>14</v>
      </c>
    </row>
    <row r="25" spans="1:4" x14ac:dyDescent="0.3">
      <c r="A25">
        <v>24</v>
      </c>
      <c r="B25" t="s">
        <v>821</v>
      </c>
      <c r="C25" t="s">
        <v>915</v>
      </c>
      <c r="D25" t="s">
        <v>920</v>
      </c>
    </row>
    <row r="26" spans="1:4" x14ac:dyDescent="0.3">
      <c r="A26">
        <v>25</v>
      </c>
      <c r="B26" t="s">
        <v>819</v>
      </c>
      <c r="C26" t="s">
        <v>919</v>
      </c>
      <c r="D26" t="s">
        <v>920</v>
      </c>
    </row>
    <row r="27" spans="1:4" x14ac:dyDescent="0.3">
      <c r="A27">
        <v>26</v>
      </c>
      <c r="B27" t="s">
        <v>817</v>
      </c>
    </row>
    <row r="28" spans="1:4" x14ac:dyDescent="0.3">
      <c r="A28">
        <v>27</v>
      </c>
      <c r="B28" t="s">
        <v>815</v>
      </c>
    </row>
    <row r="29" spans="1:4" x14ac:dyDescent="0.3">
      <c r="A29">
        <v>28</v>
      </c>
      <c r="B29" t="s">
        <v>14</v>
      </c>
      <c r="D29" t="s">
        <v>419</v>
      </c>
    </row>
    <row r="30" spans="1:4" x14ac:dyDescent="0.3">
      <c r="A30">
        <v>29</v>
      </c>
      <c r="B30" t="s">
        <v>813</v>
      </c>
    </row>
    <row r="31" spans="1:4" x14ac:dyDescent="0.3">
      <c r="A31">
        <v>30</v>
      </c>
      <c r="B31" t="s">
        <v>811</v>
      </c>
    </row>
    <row r="32" spans="1:4" x14ac:dyDescent="0.3">
      <c r="A32">
        <v>31</v>
      </c>
      <c r="B32" t="s">
        <v>809</v>
      </c>
    </row>
    <row r="33" spans="1:4" x14ac:dyDescent="0.3">
      <c r="A33">
        <v>32</v>
      </c>
      <c r="B33" t="s">
        <v>807</v>
      </c>
    </row>
    <row r="34" spans="1:4" x14ac:dyDescent="0.3">
      <c r="A34">
        <v>33</v>
      </c>
      <c r="B34" t="s">
        <v>14</v>
      </c>
      <c r="D34" t="s">
        <v>419</v>
      </c>
    </row>
    <row r="35" spans="1:4" x14ac:dyDescent="0.3">
      <c r="A35">
        <v>34</v>
      </c>
      <c r="B35" t="s">
        <v>805</v>
      </c>
    </row>
    <row r="36" spans="1:4" x14ac:dyDescent="0.3">
      <c r="A36">
        <v>35</v>
      </c>
      <c r="B36" t="s">
        <v>902</v>
      </c>
    </row>
    <row r="37" spans="1:4" x14ac:dyDescent="0.3">
      <c r="A37">
        <v>36</v>
      </c>
      <c r="B37" t="s">
        <v>904</v>
      </c>
      <c r="C37" t="s">
        <v>16</v>
      </c>
      <c r="D37" t="s">
        <v>918</v>
      </c>
    </row>
    <row r="38" spans="1:4" x14ac:dyDescent="0.3">
      <c r="A38">
        <v>37</v>
      </c>
      <c r="B38" t="s">
        <v>903</v>
      </c>
    </row>
    <row r="39" spans="1:4" x14ac:dyDescent="0.3">
      <c r="A39">
        <v>38</v>
      </c>
      <c r="B39" t="s">
        <v>14</v>
      </c>
      <c r="C39" t="s">
        <v>14</v>
      </c>
      <c r="D39" t="s">
        <v>419</v>
      </c>
    </row>
    <row r="40" spans="1:4" x14ac:dyDescent="0.3">
      <c r="A40">
        <v>39</v>
      </c>
      <c r="B40" t="s">
        <v>800</v>
      </c>
      <c r="C40" t="s">
        <v>800</v>
      </c>
      <c r="D40" t="s">
        <v>916</v>
      </c>
    </row>
    <row r="41" spans="1:4" x14ac:dyDescent="0.3">
      <c r="A41">
        <v>40</v>
      </c>
      <c r="B41" t="s">
        <v>210</v>
      </c>
      <c r="C41" t="s">
        <v>210</v>
      </c>
      <c r="D41" t="s">
        <v>917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0066-03D0-45D5-8739-05EA2C911A41}">
  <dimension ref="A2:M46"/>
  <sheetViews>
    <sheetView tabSelected="1" topLeftCell="A19" zoomScale="145" zoomScaleNormal="145" workbookViewId="0">
      <selection activeCell="K48" sqref="K48"/>
    </sheetView>
  </sheetViews>
  <sheetFormatPr defaultRowHeight="14.4" x14ac:dyDescent="0.3"/>
  <cols>
    <col min="2" max="2" width="10.5546875" customWidth="1"/>
    <col min="3" max="3" width="11.33203125" customWidth="1"/>
    <col min="4" max="4" width="7.33203125" customWidth="1"/>
    <col min="10" max="10" width="10.109375" customWidth="1"/>
    <col min="11" max="11" width="23.33203125" customWidth="1"/>
    <col min="13" max="13" width="20.6640625" customWidth="1"/>
    <col min="14" max="14" width="23.6640625" customWidth="1"/>
  </cols>
  <sheetData>
    <row r="2" spans="1:5" x14ac:dyDescent="0.3">
      <c r="D2" t="s">
        <v>764</v>
      </c>
    </row>
    <row r="3" spans="1:5" ht="24.6" x14ac:dyDescent="0.3">
      <c r="A3" s="44" t="s">
        <v>733</v>
      </c>
      <c r="D3" s="45" t="s">
        <v>762</v>
      </c>
    </row>
    <row r="4" spans="1:5" ht="24.6" x14ac:dyDescent="0.3">
      <c r="A4" s="44" t="s">
        <v>732</v>
      </c>
      <c r="D4" s="45" t="s">
        <v>763</v>
      </c>
    </row>
    <row r="6" spans="1:5" x14ac:dyDescent="0.3">
      <c r="B6" s="6" t="s">
        <v>745</v>
      </c>
      <c r="C6" s="4"/>
      <c r="D6" s="6" t="s">
        <v>746</v>
      </c>
    </row>
    <row r="7" spans="1:5" x14ac:dyDescent="0.3">
      <c r="A7">
        <v>1</v>
      </c>
      <c r="B7" s="7" t="s">
        <v>734</v>
      </c>
      <c r="C7" s="7" t="s">
        <v>742</v>
      </c>
      <c r="D7" s="7" t="s">
        <v>734</v>
      </c>
      <c r="E7" t="s">
        <v>747</v>
      </c>
    </row>
    <row r="8" spans="1:5" x14ac:dyDescent="0.3">
      <c r="A8">
        <v>2</v>
      </c>
      <c r="B8" s="7" t="s">
        <v>735</v>
      </c>
      <c r="C8" s="7" t="s">
        <v>742</v>
      </c>
      <c r="D8" s="7" t="s">
        <v>735</v>
      </c>
      <c r="E8" t="s">
        <v>748</v>
      </c>
    </row>
    <row r="9" spans="1:5" x14ac:dyDescent="0.3">
      <c r="A9">
        <v>3</v>
      </c>
      <c r="B9" s="7" t="s">
        <v>736</v>
      </c>
      <c r="C9" s="7" t="s">
        <v>743</v>
      </c>
      <c r="D9" s="7" t="s">
        <v>736</v>
      </c>
      <c r="E9" t="s">
        <v>749</v>
      </c>
    </row>
    <row r="10" spans="1:5" x14ac:dyDescent="0.3">
      <c r="A10">
        <v>4</v>
      </c>
      <c r="B10" s="7" t="s">
        <v>737</v>
      </c>
      <c r="C10" s="7" t="s">
        <v>743</v>
      </c>
      <c r="D10" s="7" t="s">
        <v>737</v>
      </c>
      <c r="E10" t="s">
        <v>750</v>
      </c>
    </row>
    <row r="11" spans="1:5" x14ac:dyDescent="0.3">
      <c r="A11">
        <v>5</v>
      </c>
      <c r="B11" s="7" t="s">
        <v>14</v>
      </c>
      <c r="C11" s="7" t="s">
        <v>744</v>
      </c>
      <c r="D11" s="7" t="s">
        <v>14</v>
      </c>
      <c r="E11" t="s">
        <v>751</v>
      </c>
    </row>
    <row r="12" spans="1:5" x14ac:dyDescent="0.3">
      <c r="A12">
        <v>6</v>
      </c>
      <c r="B12" s="7" t="s">
        <v>738</v>
      </c>
      <c r="C12" s="7" t="s">
        <v>742</v>
      </c>
      <c r="D12" s="7" t="s">
        <v>738</v>
      </c>
      <c r="E12" t="s">
        <v>752</v>
      </c>
    </row>
    <row r="13" spans="1:5" x14ac:dyDescent="0.3">
      <c r="A13">
        <v>7</v>
      </c>
      <c r="B13" s="7" t="s">
        <v>739</v>
      </c>
      <c r="C13" s="7" t="s">
        <v>743</v>
      </c>
      <c r="D13" s="7" t="s">
        <v>739</v>
      </c>
      <c r="E13" t="s">
        <v>753</v>
      </c>
    </row>
    <row r="14" spans="1:5" x14ac:dyDescent="0.3">
      <c r="A14">
        <v>8</v>
      </c>
      <c r="B14" s="7" t="s">
        <v>740</v>
      </c>
      <c r="C14" s="7" t="s">
        <v>742</v>
      </c>
      <c r="D14" s="7" t="s">
        <v>740</v>
      </c>
      <c r="E14" t="s">
        <v>754</v>
      </c>
    </row>
    <row r="15" spans="1:5" x14ac:dyDescent="0.3">
      <c r="A15">
        <v>9</v>
      </c>
      <c r="B15" s="7" t="s">
        <v>741</v>
      </c>
      <c r="C15" s="7" t="s">
        <v>742</v>
      </c>
      <c r="D15" s="7" t="s">
        <v>741</v>
      </c>
      <c r="E15" t="s">
        <v>755</v>
      </c>
    </row>
    <row r="17" spans="1:4" x14ac:dyDescent="0.3">
      <c r="B17" t="s">
        <v>756</v>
      </c>
    </row>
    <row r="18" spans="1:4" x14ac:dyDescent="0.3">
      <c r="A18">
        <v>1</v>
      </c>
      <c r="B18" s="7" t="s">
        <v>347</v>
      </c>
      <c r="C18" s="7" t="s">
        <v>347</v>
      </c>
      <c r="D18" s="7">
        <v>1</v>
      </c>
    </row>
    <row r="19" spans="1:4" x14ac:dyDescent="0.3">
      <c r="A19">
        <v>2</v>
      </c>
      <c r="B19" s="7" t="s">
        <v>757</v>
      </c>
      <c r="C19" s="7" t="s">
        <v>758</v>
      </c>
      <c r="D19" s="7">
        <v>3</v>
      </c>
    </row>
    <row r="20" spans="1:4" x14ac:dyDescent="0.3">
      <c r="A20">
        <v>3</v>
      </c>
      <c r="B20" s="7" t="s">
        <v>758</v>
      </c>
      <c r="C20" s="7" t="s">
        <v>757</v>
      </c>
      <c r="D20" s="7">
        <v>2</v>
      </c>
    </row>
    <row r="21" spans="1:4" x14ac:dyDescent="0.3">
      <c r="A21">
        <v>4</v>
      </c>
      <c r="B21" s="7" t="s">
        <v>737</v>
      </c>
      <c r="C21" s="7" t="s">
        <v>738</v>
      </c>
      <c r="D21" s="7">
        <v>6</v>
      </c>
    </row>
    <row r="22" spans="1:4" x14ac:dyDescent="0.3">
      <c r="A22">
        <v>5</v>
      </c>
      <c r="B22" s="7" t="s">
        <v>14</v>
      </c>
      <c r="C22" s="7" t="s">
        <v>14</v>
      </c>
      <c r="D22" s="7">
        <v>5</v>
      </c>
    </row>
    <row r="23" spans="1:4" x14ac:dyDescent="0.3">
      <c r="A23">
        <v>6</v>
      </c>
      <c r="B23" s="7" t="s">
        <v>738</v>
      </c>
      <c r="C23" s="7" t="s">
        <v>737</v>
      </c>
      <c r="D23" s="7">
        <v>4</v>
      </c>
    </row>
    <row r="24" spans="1:4" x14ac:dyDescent="0.3">
      <c r="A24">
        <v>7</v>
      </c>
      <c r="B24" s="7" t="s">
        <v>739</v>
      </c>
      <c r="C24" s="7" t="s">
        <v>740</v>
      </c>
      <c r="D24" s="7">
        <v>8</v>
      </c>
    </row>
    <row r="25" spans="1:4" x14ac:dyDescent="0.3">
      <c r="A25">
        <v>8</v>
      </c>
      <c r="B25" s="7" t="s">
        <v>740</v>
      </c>
      <c r="C25" s="7" t="s">
        <v>739</v>
      </c>
      <c r="D25" s="7">
        <v>7</v>
      </c>
    </row>
    <row r="26" spans="1:4" x14ac:dyDescent="0.3">
      <c r="A26">
        <v>9</v>
      </c>
      <c r="B26" s="7" t="s">
        <v>347</v>
      </c>
      <c r="C26" s="7" t="s">
        <v>347</v>
      </c>
      <c r="D26" s="7">
        <v>9</v>
      </c>
    </row>
    <row r="29" spans="1:4" x14ac:dyDescent="0.3">
      <c r="B29" t="s">
        <v>756</v>
      </c>
      <c r="D29" s="9"/>
    </row>
    <row r="30" spans="1:4" x14ac:dyDescent="0.3">
      <c r="A30" s="43">
        <v>2</v>
      </c>
      <c r="B30" s="7" t="s">
        <v>757</v>
      </c>
      <c r="C30" s="7" t="s">
        <v>758</v>
      </c>
      <c r="D30" s="9">
        <v>3</v>
      </c>
    </row>
    <row r="31" spans="1:4" x14ac:dyDescent="0.3">
      <c r="A31" s="43">
        <v>3</v>
      </c>
      <c r="B31" s="7" t="s">
        <v>758</v>
      </c>
      <c r="C31" s="7" t="s">
        <v>757</v>
      </c>
      <c r="D31" s="9">
        <v>2</v>
      </c>
    </row>
    <row r="32" spans="1:4" x14ac:dyDescent="0.3">
      <c r="A32" s="43">
        <v>4</v>
      </c>
      <c r="B32" s="7" t="s">
        <v>737</v>
      </c>
      <c r="C32" s="7" t="s">
        <v>760</v>
      </c>
      <c r="D32" s="9" t="s">
        <v>759</v>
      </c>
    </row>
    <row r="33" spans="1:13" x14ac:dyDescent="0.3">
      <c r="A33" s="43">
        <v>5</v>
      </c>
      <c r="B33" s="7" t="s">
        <v>14</v>
      </c>
      <c r="C33" s="7" t="s">
        <v>14</v>
      </c>
      <c r="D33" s="9">
        <v>5</v>
      </c>
    </row>
    <row r="34" spans="1:13" x14ac:dyDescent="0.3">
      <c r="A34" s="43" t="s">
        <v>761</v>
      </c>
      <c r="B34" s="7" t="s">
        <v>760</v>
      </c>
      <c r="C34" s="7" t="s">
        <v>737</v>
      </c>
      <c r="D34" s="9">
        <v>4</v>
      </c>
    </row>
    <row r="35" spans="1:13" x14ac:dyDescent="0.3">
      <c r="A35" s="43">
        <v>7</v>
      </c>
      <c r="B35" s="7" t="s">
        <v>739</v>
      </c>
      <c r="C35" s="7" t="s">
        <v>740</v>
      </c>
      <c r="D35" s="9">
        <v>8</v>
      </c>
    </row>
    <row r="36" spans="1:13" x14ac:dyDescent="0.3">
      <c r="A36" s="43">
        <v>8</v>
      </c>
      <c r="B36" s="7" t="s">
        <v>740</v>
      </c>
      <c r="C36" s="7" t="s">
        <v>739</v>
      </c>
      <c r="D36" s="9">
        <v>7</v>
      </c>
    </row>
    <row r="37" spans="1:13" x14ac:dyDescent="0.3">
      <c r="A37" s="43"/>
      <c r="B37" s="7"/>
      <c r="D37" s="9"/>
    </row>
    <row r="42" spans="1:13" x14ac:dyDescent="0.3">
      <c r="E42" s="4" t="s">
        <v>766</v>
      </c>
      <c r="F42" s="4" t="s">
        <v>330</v>
      </c>
      <c r="G42" s="46" t="s">
        <v>767</v>
      </c>
      <c r="H42" s="46"/>
      <c r="I42" s="6" t="s">
        <v>769</v>
      </c>
      <c r="J42" s="6" t="s">
        <v>779</v>
      </c>
      <c r="L42" s="6" t="s">
        <v>769</v>
      </c>
    </row>
    <row r="43" spans="1:13" x14ac:dyDescent="0.3">
      <c r="D43" t="s">
        <v>356</v>
      </c>
      <c r="E43" t="s">
        <v>765</v>
      </c>
      <c r="F43" t="s">
        <v>743</v>
      </c>
      <c r="G43" t="s">
        <v>768</v>
      </c>
      <c r="H43" t="s">
        <v>776</v>
      </c>
      <c r="I43" s="7" t="s">
        <v>770</v>
      </c>
      <c r="J43" s="7">
        <v>3</v>
      </c>
      <c r="K43" t="s">
        <v>780</v>
      </c>
      <c r="L43" s="2" t="s">
        <v>788</v>
      </c>
      <c r="M43" t="s">
        <v>784</v>
      </c>
    </row>
    <row r="44" spans="1:13" x14ac:dyDescent="0.3">
      <c r="D44" t="s">
        <v>357</v>
      </c>
      <c r="E44" t="s">
        <v>771</v>
      </c>
      <c r="F44" t="s">
        <v>742</v>
      </c>
      <c r="G44" t="s">
        <v>778</v>
      </c>
      <c r="H44" t="s">
        <v>777</v>
      </c>
      <c r="I44" s="7" t="s">
        <v>771</v>
      </c>
      <c r="J44" s="7">
        <v>2</v>
      </c>
      <c r="K44" t="s">
        <v>781</v>
      </c>
      <c r="L44" s="2" t="s">
        <v>789</v>
      </c>
      <c r="M44" t="s">
        <v>785</v>
      </c>
    </row>
    <row r="45" spans="1:13" x14ac:dyDescent="0.3">
      <c r="D45" t="s">
        <v>0</v>
      </c>
      <c r="E45" t="s">
        <v>739</v>
      </c>
      <c r="F45" t="s">
        <v>743</v>
      </c>
      <c r="G45" t="s">
        <v>772</v>
      </c>
      <c r="H45" t="s">
        <v>773</v>
      </c>
      <c r="I45" s="7" t="s">
        <v>739</v>
      </c>
      <c r="J45" s="7">
        <v>7</v>
      </c>
      <c r="K45" t="s">
        <v>782</v>
      </c>
      <c r="L45" s="2" t="s">
        <v>790</v>
      </c>
      <c r="M45" t="s">
        <v>786</v>
      </c>
    </row>
    <row r="46" spans="1:13" x14ac:dyDescent="0.3">
      <c r="D46" t="s">
        <v>358</v>
      </c>
      <c r="E46" t="s">
        <v>740</v>
      </c>
      <c r="F46" t="s">
        <v>742</v>
      </c>
      <c r="G46" t="s">
        <v>774</v>
      </c>
      <c r="H46" t="s">
        <v>775</v>
      </c>
      <c r="I46" s="7" t="s">
        <v>740</v>
      </c>
      <c r="J46" s="7">
        <v>8</v>
      </c>
      <c r="K46" t="s">
        <v>783</v>
      </c>
      <c r="L46" s="2" t="s">
        <v>791</v>
      </c>
      <c r="M46" t="s">
        <v>787</v>
      </c>
    </row>
  </sheetData>
  <mergeCells count="1">
    <mergeCell ref="G42:H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RedBoard T</vt:lpstr>
      <vt:lpstr>ATSAMD21G18</vt:lpstr>
      <vt:lpstr>CPU Options</vt:lpstr>
      <vt:lpstr>TTL-3V3</vt:lpstr>
      <vt:lpstr>Char Map</vt:lpstr>
      <vt:lpstr>Simulator Wiring</vt:lpstr>
      <vt:lpstr>Pi Pico Pinout</vt:lpstr>
      <vt:lpstr>RS232</vt:lpstr>
      <vt:lpstr>SAMD21G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tomh</dc:creator>
  <cp:lastModifiedBy>Tom Harkaway</cp:lastModifiedBy>
  <dcterms:created xsi:type="dcterms:W3CDTF">2025-05-08T00:05:02Z</dcterms:created>
  <dcterms:modified xsi:type="dcterms:W3CDTF">2026-03-19T21:34:05Z</dcterms:modified>
</cp:coreProperties>
</file>